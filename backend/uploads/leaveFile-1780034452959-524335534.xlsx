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vntthang\Desktop\"/>
    </mc:Choice>
  </mc:AlternateContent>
  <bookViews>
    <workbookView xWindow="0" yWindow="0" windowWidth="28800" windowHeight="10800"/>
  </bookViews>
  <sheets>
    <sheet name="Đ4_T12" sheetId="1" r:id="rId1"/>
  </sheets>
  <definedNames>
    <definedName name="_xlnm._FilterDatabase" localSheetId="0" hidden="1">Đ4_T12!$A$14:$AH$268</definedName>
    <definedName name="_xlnm.Print_Area" localSheetId="0">Đ4_T12!$A$1:$S$278</definedName>
    <definedName name="_xlnm.Print_Titles" localSheetId="0">Đ4_T12!$12:$14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109" i="1" l="1"/>
  <c r="O108" i="1"/>
  <c r="O107" i="1"/>
  <c r="O106" i="1"/>
  <c r="O105" i="1"/>
  <c r="O104" i="1"/>
  <c r="O103" i="1"/>
  <c r="O102" i="1"/>
  <c r="O101" i="1"/>
  <c r="O100" i="1"/>
  <c r="J101" i="1"/>
  <c r="H102" i="1"/>
  <c r="J108" i="1"/>
  <c r="L102" i="1"/>
  <c r="M100" i="1"/>
  <c r="I103" i="1"/>
  <c r="J107" i="1"/>
  <c r="H106" i="1"/>
  <c r="K106" i="1"/>
  <c r="H107" i="1"/>
  <c r="I102" i="1"/>
  <c r="H108" i="1"/>
  <c r="L106" i="1"/>
  <c r="L101" i="1"/>
  <c r="G107" i="1"/>
  <c r="M106" i="1"/>
  <c r="K107" i="1"/>
  <c r="G103" i="1"/>
  <c r="I107" i="1"/>
  <c r="H101" i="1"/>
  <c r="H103" i="1"/>
  <c r="L107" i="1"/>
  <c r="M104" i="1"/>
  <c r="M109" i="1"/>
  <c r="J102" i="1"/>
  <c r="G105" i="1"/>
  <c r="L104" i="1"/>
  <c r="K108" i="1"/>
  <c r="G101" i="1"/>
  <c r="M105" i="1"/>
  <c r="L109" i="1"/>
  <c r="M107" i="1"/>
  <c r="M101" i="1"/>
  <c r="L108" i="1"/>
  <c r="G102" i="1"/>
  <c r="G109" i="1"/>
  <c r="G100" i="1"/>
  <c r="G39" i="1"/>
  <c r="K103" i="1"/>
  <c r="H104" i="1"/>
  <c r="M108" i="1"/>
  <c r="I105" i="1"/>
  <c r="H100" i="1"/>
  <c r="J109" i="1"/>
  <c r="H109" i="1"/>
  <c r="K109" i="1"/>
  <c r="H105" i="1"/>
  <c r="M103" i="1"/>
  <c r="M102" i="1"/>
  <c r="J100" i="1"/>
  <c r="I101" i="1"/>
  <c r="G108" i="1"/>
  <c r="I108" i="1"/>
  <c r="K105" i="1"/>
  <c r="K100" i="1"/>
  <c r="L103" i="1"/>
  <c r="K101" i="1"/>
  <c r="L105" i="1"/>
  <c r="I104" i="1"/>
  <c r="J105" i="1"/>
  <c r="G104" i="1"/>
  <c r="J104" i="1"/>
  <c r="K102" i="1"/>
  <c r="J106" i="1"/>
  <c r="G106" i="1"/>
  <c r="K104" i="1"/>
  <c r="J103" i="1"/>
  <c r="I100" i="1"/>
  <c r="I109" i="1"/>
  <c r="L100" i="1"/>
  <c r="I106" i="1"/>
  <c r="N106" i="1" l="1"/>
  <c r="N101" i="1"/>
  <c r="N105" i="1"/>
  <c r="N109" i="1"/>
  <c r="N100" i="1"/>
  <c r="N104" i="1"/>
  <c r="N108" i="1"/>
  <c r="N102" i="1"/>
  <c r="N103" i="1"/>
  <c r="N107" i="1"/>
  <c r="O48" i="1"/>
  <c r="G195" i="1"/>
  <c r="G196" i="1"/>
  <c r="O242" i="1" l="1"/>
  <c r="O241" i="1"/>
  <c r="O232" i="1"/>
  <c r="O231" i="1"/>
  <c r="O230" i="1"/>
  <c r="O229" i="1"/>
  <c r="O180" i="1"/>
  <c r="O179" i="1"/>
  <c r="O178" i="1"/>
  <c r="O177" i="1"/>
  <c r="O176" i="1"/>
  <c r="O175" i="1"/>
  <c r="O174" i="1"/>
  <c r="O136" i="1"/>
  <c r="O135" i="1"/>
  <c r="O134" i="1"/>
  <c r="O133" i="1"/>
  <c r="O132" i="1"/>
  <c r="O131" i="1"/>
  <c r="O130" i="1"/>
  <c r="O129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H174" i="1"/>
  <c r="K241" i="1"/>
  <c r="I242" i="1"/>
  <c r="M242" i="1"/>
  <c r="H242" i="1"/>
  <c r="J229" i="1"/>
  <c r="K229" i="1"/>
  <c r="G231" i="1"/>
  <c r="J230" i="1"/>
  <c r="H229" i="1"/>
  <c r="M241" i="1"/>
  <c r="H241" i="1"/>
  <c r="L241" i="1"/>
  <c r="G241" i="1"/>
  <c r="L231" i="1"/>
  <c r="I232" i="1"/>
  <c r="G230" i="1"/>
  <c r="J231" i="1"/>
  <c r="J232" i="1"/>
  <c r="L175" i="1"/>
  <c r="K242" i="1"/>
  <c r="G229" i="1"/>
  <c r="J241" i="1"/>
  <c r="K232" i="1"/>
  <c r="J242" i="1"/>
  <c r="M230" i="1"/>
  <c r="L232" i="1"/>
  <c r="K231" i="1"/>
  <c r="M231" i="1"/>
  <c r="M229" i="1"/>
  <c r="H232" i="1"/>
  <c r="G242" i="1"/>
  <c r="I241" i="1"/>
  <c r="I231" i="1"/>
  <c r="L229" i="1"/>
  <c r="K230" i="1"/>
  <c r="H231" i="1"/>
  <c r="I230" i="1"/>
  <c r="L242" i="1"/>
  <c r="M232" i="1"/>
  <c r="I174" i="1"/>
  <c r="I178" i="1"/>
  <c r="I229" i="1"/>
  <c r="L179" i="1"/>
  <c r="H230" i="1"/>
  <c r="G232" i="1"/>
  <c r="L230" i="1"/>
  <c r="N230" i="1" l="1"/>
  <c r="N242" i="1"/>
  <c r="N229" i="1"/>
  <c r="N241" i="1"/>
  <c r="N231" i="1"/>
  <c r="N232" i="1"/>
  <c r="K179" i="1"/>
  <c r="G177" i="1"/>
  <c r="H131" i="1"/>
  <c r="M68" i="1"/>
  <c r="K58" i="1"/>
  <c r="H82" i="1"/>
  <c r="J71" i="1"/>
  <c r="K77" i="1"/>
  <c r="J178" i="1"/>
  <c r="L72" i="1"/>
  <c r="H64" i="1"/>
  <c r="H175" i="1"/>
  <c r="H129" i="1"/>
  <c r="I176" i="1"/>
  <c r="K180" i="1"/>
  <c r="L65" i="1"/>
  <c r="J79" i="1"/>
  <c r="I63" i="1"/>
  <c r="J59" i="1"/>
  <c r="G82" i="1"/>
  <c r="J176" i="1"/>
  <c r="M177" i="1"/>
  <c r="M60" i="1"/>
  <c r="K136" i="1"/>
  <c r="L67" i="1"/>
  <c r="H180" i="1"/>
  <c r="H136" i="1"/>
  <c r="I83" i="1"/>
  <c r="J130" i="1"/>
  <c r="L68" i="1"/>
  <c r="J76" i="1"/>
  <c r="H59" i="1"/>
  <c r="I58" i="1"/>
  <c r="M136" i="1"/>
  <c r="K60" i="1"/>
  <c r="L129" i="1"/>
  <c r="J69" i="1"/>
  <c r="H68" i="1"/>
  <c r="I180" i="1"/>
  <c r="I81" i="1"/>
  <c r="L59" i="1"/>
  <c r="M82" i="1"/>
  <c r="M85" i="1"/>
  <c r="H134" i="1"/>
  <c r="J61" i="1"/>
  <c r="K80" i="1"/>
  <c r="K67" i="1"/>
  <c r="K132" i="1"/>
  <c r="J85" i="1"/>
  <c r="K79" i="1"/>
  <c r="J132" i="1"/>
  <c r="M71" i="1"/>
  <c r="K65" i="1"/>
  <c r="M84" i="1"/>
  <c r="H65" i="1"/>
  <c r="M58" i="1"/>
  <c r="I68" i="1"/>
  <c r="G63" i="1"/>
  <c r="K177" i="1"/>
  <c r="K176" i="1"/>
  <c r="G133" i="1"/>
  <c r="K74" i="1"/>
  <c r="M59" i="1"/>
  <c r="I177" i="1"/>
  <c r="J67" i="1"/>
  <c r="M80" i="1"/>
  <c r="H75" i="1"/>
  <c r="K68" i="1"/>
  <c r="L64" i="1"/>
  <c r="K135" i="1"/>
  <c r="L62" i="1"/>
  <c r="H69" i="1"/>
  <c r="L178" i="1"/>
  <c r="K70" i="1"/>
  <c r="M134" i="1"/>
  <c r="G74" i="1"/>
  <c r="J133" i="1"/>
  <c r="L74" i="1"/>
  <c r="G78" i="1"/>
  <c r="L136" i="1"/>
  <c r="M78" i="1"/>
  <c r="I71" i="1"/>
  <c r="M77" i="1"/>
  <c r="H57" i="1"/>
  <c r="G77" i="1"/>
  <c r="L69" i="1"/>
  <c r="J177" i="1"/>
  <c r="H133" i="1"/>
  <c r="M81" i="1"/>
  <c r="M74" i="1"/>
  <c r="J63" i="1"/>
  <c r="K69" i="1"/>
  <c r="I59" i="1"/>
  <c r="J129" i="1"/>
  <c r="I66" i="1"/>
  <c r="H58" i="1"/>
  <c r="M131" i="1"/>
  <c r="H73" i="1"/>
  <c r="G84" i="1"/>
  <c r="J75" i="1"/>
  <c r="J136" i="1"/>
  <c r="K61" i="1"/>
  <c r="L63" i="1"/>
  <c r="I75" i="1"/>
  <c r="K85" i="1"/>
  <c r="H80" i="1"/>
  <c r="J66" i="1"/>
  <c r="I61" i="1"/>
  <c r="M67" i="1"/>
  <c r="L76" i="1"/>
  <c r="I130" i="1"/>
  <c r="G75" i="1"/>
  <c r="L60" i="1"/>
  <c r="K82" i="1"/>
  <c r="J68" i="1"/>
  <c r="G66" i="1"/>
  <c r="K57" i="1"/>
  <c r="I77" i="1"/>
  <c r="L61" i="1"/>
  <c r="M76" i="1"/>
  <c r="J73" i="1"/>
  <c r="J72" i="1"/>
  <c r="L131" i="1"/>
  <c r="H66" i="1"/>
  <c r="G132" i="1"/>
  <c r="J179" i="1"/>
  <c r="H61" i="1"/>
  <c r="K59" i="1"/>
  <c r="M135" i="1"/>
  <c r="J60" i="1"/>
  <c r="J78" i="1"/>
  <c r="I73" i="1"/>
  <c r="G67" i="1"/>
  <c r="G179" i="1"/>
  <c r="L78" i="1"/>
  <c r="J70" i="1"/>
  <c r="K174" i="1"/>
  <c r="M70" i="1"/>
  <c r="L82" i="1"/>
  <c r="L132" i="1"/>
  <c r="G135" i="1"/>
  <c r="M83" i="1"/>
  <c r="G175" i="1"/>
  <c r="I76" i="1"/>
  <c r="K75" i="1"/>
  <c r="M65" i="1"/>
  <c r="L84" i="1"/>
  <c r="G178" i="1"/>
  <c r="K72" i="1"/>
  <c r="M75" i="1"/>
  <c r="K76" i="1"/>
  <c r="K130" i="1"/>
  <c r="J65" i="1"/>
  <c r="G174" i="1"/>
  <c r="K63" i="1"/>
  <c r="L81" i="1"/>
  <c r="G134" i="1"/>
  <c r="G136" i="1"/>
  <c r="I64" i="1"/>
  <c r="I132" i="1"/>
  <c r="I175" i="1"/>
  <c r="G76" i="1"/>
  <c r="J134" i="1"/>
  <c r="H74" i="1"/>
  <c r="K71" i="1"/>
  <c r="M132" i="1"/>
  <c r="I74" i="1"/>
  <c r="I57" i="1"/>
  <c r="K64" i="1"/>
  <c r="J74" i="1"/>
  <c r="M133" i="1"/>
  <c r="L85" i="1"/>
  <c r="J82" i="1"/>
  <c r="I85" i="1"/>
  <c r="L80" i="1"/>
  <c r="M180" i="1"/>
  <c r="G176" i="1"/>
  <c r="I62" i="1"/>
  <c r="I78" i="1"/>
  <c r="L57" i="1"/>
  <c r="H63" i="1"/>
  <c r="L66" i="1"/>
  <c r="G80" i="1"/>
  <c r="G180" i="1"/>
  <c r="H130" i="1"/>
  <c r="H71" i="1"/>
  <c r="L71" i="1"/>
  <c r="L75" i="1"/>
  <c r="I65" i="1"/>
  <c r="M61" i="1"/>
  <c r="I82" i="1"/>
  <c r="I179" i="1"/>
  <c r="H60" i="1"/>
  <c r="I135" i="1"/>
  <c r="M179" i="1"/>
  <c r="H67" i="1"/>
  <c r="J81" i="1"/>
  <c r="I134" i="1"/>
  <c r="M57" i="1"/>
  <c r="I70" i="1"/>
  <c r="H62" i="1"/>
  <c r="J77" i="1"/>
  <c r="G70" i="1"/>
  <c r="L130" i="1"/>
  <c r="K78" i="1"/>
  <c r="H179" i="1"/>
  <c r="K131" i="1"/>
  <c r="J175" i="1"/>
  <c r="I69" i="1"/>
  <c r="G85" i="1"/>
  <c r="H85" i="1"/>
  <c r="J80" i="1"/>
  <c r="G131" i="1"/>
  <c r="L174" i="1"/>
  <c r="M129" i="1"/>
  <c r="J83" i="1"/>
  <c r="M63" i="1"/>
  <c r="G129" i="1"/>
  <c r="I84" i="1"/>
  <c r="L135" i="1"/>
  <c r="G62" i="1"/>
  <c r="G69" i="1"/>
  <c r="L177" i="1"/>
  <c r="L134" i="1"/>
  <c r="G73" i="1"/>
  <c r="L58" i="1"/>
  <c r="H77" i="1"/>
  <c r="G68" i="1"/>
  <c r="J84" i="1"/>
  <c r="H72" i="1"/>
  <c r="G81" i="1"/>
  <c r="H178" i="1"/>
  <c r="M62" i="1"/>
  <c r="H135" i="1"/>
  <c r="M178" i="1"/>
  <c r="H70" i="1"/>
  <c r="K62" i="1"/>
  <c r="H81" i="1"/>
  <c r="K83" i="1"/>
  <c r="K66" i="1"/>
  <c r="I131" i="1"/>
  <c r="G59" i="1"/>
  <c r="G72" i="1"/>
  <c r="L79" i="1"/>
  <c r="H76" i="1"/>
  <c r="K178" i="1"/>
  <c r="M66" i="1"/>
  <c r="J58" i="1"/>
  <c r="G58" i="1"/>
  <c r="J62" i="1"/>
  <c r="G65" i="1"/>
  <c r="G71" i="1"/>
  <c r="M73" i="1"/>
  <c r="I129" i="1"/>
  <c r="J135" i="1"/>
  <c r="G60" i="1"/>
  <c r="L83" i="1"/>
  <c r="M72" i="1"/>
  <c r="H84" i="1"/>
  <c r="K73" i="1"/>
  <c r="M175" i="1"/>
  <c r="I133" i="1"/>
  <c r="H177" i="1"/>
  <c r="L133" i="1"/>
  <c r="G79" i="1"/>
  <c r="G64" i="1"/>
  <c r="G130" i="1"/>
  <c r="H132" i="1"/>
  <c r="J174" i="1"/>
  <c r="L77" i="1"/>
  <c r="J57" i="1"/>
  <c r="K84" i="1"/>
  <c r="J131" i="1"/>
  <c r="K133" i="1"/>
  <c r="K175" i="1"/>
  <c r="L70" i="1"/>
  <c r="K129" i="1"/>
  <c r="I80" i="1"/>
  <c r="H83" i="1"/>
  <c r="I60" i="1"/>
  <c r="K134" i="1"/>
  <c r="L180" i="1"/>
  <c r="M64" i="1"/>
  <c r="I72" i="1"/>
  <c r="I136" i="1"/>
  <c r="M176" i="1"/>
  <c r="J64" i="1"/>
  <c r="M130" i="1"/>
  <c r="H78" i="1"/>
  <c r="G83" i="1"/>
  <c r="I79" i="1"/>
  <c r="J180" i="1"/>
  <c r="H176" i="1"/>
  <c r="I67" i="1"/>
  <c r="L176" i="1"/>
  <c r="G61" i="1"/>
  <c r="L73" i="1"/>
  <c r="K81" i="1"/>
  <c r="G57" i="1"/>
  <c r="M79" i="1"/>
  <c r="M174" i="1"/>
  <c r="H79" i="1"/>
  <c r="M69" i="1"/>
  <c r="N177" i="1" l="1"/>
  <c r="N176" i="1"/>
  <c r="N180" i="1"/>
  <c r="N175" i="1"/>
  <c r="N179" i="1"/>
  <c r="N178" i="1"/>
  <c r="N174" i="1"/>
  <c r="N133" i="1"/>
  <c r="N129" i="1"/>
  <c r="N132" i="1"/>
  <c r="N136" i="1"/>
  <c r="N131" i="1"/>
  <c r="N135" i="1"/>
  <c r="N130" i="1"/>
  <c r="N134" i="1"/>
  <c r="N58" i="1"/>
  <c r="N62" i="1"/>
  <c r="N66" i="1"/>
  <c r="N70" i="1"/>
  <c r="N74" i="1"/>
  <c r="N78" i="1"/>
  <c r="N82" i="1"/>
  <c r="N57" i="1"/>
  <c r="N61" i="1"/>
  <c r="N65" i="1"/>
  <c r="N69" i="1"/>
  <c r="N73" i="1"/>
  <c r="N77" i="1"/>
  <c r="N81" i="1"/>
  <c r="N85" i="1"/>
  <c r="N60" i="1"/>
  <c r="N64" i="1"/>
  <c r="N68" i="1"/>
  <c r="N72" i="1"/>
  <c r="N76" i="1"/>
  <c r="N80" i="1"/>
  <c r="N84" i="1"/>
  <c r="N59" i="1"/>
  <c r="N63" i="1"/>
  <c r="N67" i="1"/>
  <c r="N71" i="1"/>
  <c r="N75" i="1"/>
  <c r="N79" i="1"/>
  <c r="N83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81" i="1"/>
  <c r="O182" i="1"/>
  <c r="O183" i="1"/>
  <c r="O187" i="1"/>
  <c r="K164" i="1"/>
  <c r="M166" i="1"/>
  <c r="M171" i="1"/>
  <c r="J183" i="1"/>
  <c r="J168" i="1"/>
  <c r="K187" i="1"/>
  <c r="M164" i="1"/>
  <c r="M181" i="1"/>
  <c r="H171" i="1"/>
  <c r="H166" i="1"/>
  <c r="M169" i="1"/>
  <c r="G173" i="1"/>
  <c r="H165" i="1"/>
  <c r="I166" i="1"/>
  <c r="G169" i="1"/>
  <c r="M161" i="1"/>
  <c r="L165" i="1"/>
  <c r="H162" i="1"/>
  <c r="G172" i="1"/>
  <c r="M167" i="1"/>
  <c r="K161" i="1"/>
  <c r="G182" i="1"/>
  <c r="L167" i="1"/>
  <c r="G162" i="1"/>
  <c r="I172" i="1"/>
  <c r="I182" i="1"/>
  <c r="K169" i="1"/>
  <c r="K167" i="1"/>
  <c r="K163" i="1"/>
  <c r="K173" i="1"/>
  <c r="G183" i="1"/>
  <c r="I161" i="1"/>
  <c r="L171" i="1"/>
  <c r="K165" i="1"/>
  <c r="L168" i="1"/>
  <c r="K171" i="1"/>
  <c r="K183" i="1"/>
  <c r="J170" i="1"/>
  <c r="J171" i="1"/>
  <c r="H169" i="1"/>
  <c r="J166" i="1"/>
  <c r="G166" i="1"/>
  <c r="M183" i="1"/>
  <c r="I168" i="1"/>
  <c r="H164" i="1"/>
  <c r="H172" i="1"/>
  <c r="I170" i="1"/>
  <c r="K166" i="1"/>
  <c r="M168" i="1"/>
  <c r="M172" i="1"/>
  <c r="L170" i="1"/>
  <c r="J163" i="1"/>
  <c r="J172" i="1"/>
  <c r="L164" i="1"/>
  <c r="G161" i="1"/>
  <c r="K170" i="1"/>
  <c r="G171" i="1"/>
  <c r="G170" i="1"/>
  <c r="I187" i="1"/>
  <c r="J187" i="1"/>
  <c r="G163" i="1"/>
  <c r="M165" i="1"/>
  <c r="L183" i="1"/>
  <c r="I171" i="1"/>
  <c r="J161" i="1"/>
  <c r="J164" i="1"/>
  <c r="K172" i="1"/>
  <c r="H187" i="1"/>
  <c r="I181" i="1"/>
  <c r="L181" i="1"/>
  <c r="G168" i="1"/>
  <c r="I183" i="1"/>
  <c r="M170" i="1"/>
  <c r="H173" i="1"/>
  <c r="L161" i="1"/>
  <c r="K162" i="1"/>
  <c r="I162" i="1"/>
  <c r="H181" i="1"/>
  <c r="J173" i="1"/>
  <c r="I165" i="1"/>
  <c r="G187" i="1"/>
  <c r="K182" i="1"/>
  <c r="G181" i="1"/>
  <c r="H170" i="1"/>
  <c r="M173" i="1"/>
  <c r="J181" i="1"/>
  <c r="M182" i="1"/>
  <c r="H183" i="1"/>
  <c r="I167" i="1"/>
  <c r="I173" i="1"/>
  <c r="K168" i="1"/>
  <c r="L172" i="1"/>
  <c r="J165" i="1"/>
  <c r="L162" i="1"/>
  <c r="J182" i="1"/>
  <c r="L163" i="1"/>
  <c r="G167" i="1"/>
  <c r="H163" i="1"/>
  <c r="L173" i="1"/>
  <c r="H182" i="1"/>
  <c r="H168" i="1"/>
  <c r="L169" i="1"/>
  <c r="J167" i="1"/>
  <c r="M187" i="1"/>
  <c r="I164" i="1"/>
  <c r="L187" i="1"/>
  <c r="G165" i="1"/>
  <c r="K181" i="1"/>
  <c r="L166" i="1"/>
  <c r="I169" i="1"/>
  <c r="G164" i="1"/>
  <c r="J162" i="1"/>
  <c r="M163" i="1"/>
  <c r="J169" i="1"/>
  <c r="H167" i="1"/>
  <c r="L182" i="1"/>
  <c r="M162" i="1"/>
  <c r="I163" i="1"/>
  <c r="H161" i="1"/>
  <c r="N162" i="1" l="1"/>
  <c r="N166" i="1"/>
  <c r="N182" i="1"/>
  <c r="N171" i="1"/>
  <c r="N167" i="1"/>
  <c r="N163" i="1"/>
  <c r="N183" i="1"/>
  <c r="N172" i="1"/>
  <c r="N168" i="1"/>
  <c r="N164" i="1"/>
  <c r="N170" i="1"/>
  <c r="N161" i="1"/>
  <c r="N181" i="1"/>
  <c r="N187" i="1"/>
  <c r="N173" i="1"/>
  <c r="N169" i="1"/>
  <c r="N165" i="1"/>
  <c r="O266" i="1"/>
  <c r="O265" i="1"/>
  <c r="O264" i="1"/>
  <c r="O263" i="1"/>
  <c r="O262" i="1"/>
  <c r="O261" i="1"/>
  <c r="O260" i="1"/>
  <c r="O259" i="1"/>
  <c r="O258" i="1"/>
  <c r="O257" i="1"/>
  <c r="O224" i="1"/>
  <c r="O223" i="1"/>
  <c r="O222" i="1"/>
  <c r="O221" i="1"/>
  <c r="O220" i="1"/>
  <c r="O219" i="1"/>
  <c r="O218" i="1"/>
  <c r="O217" i="1"/>
  <c r="O210" i="1"/>
  <c r="O209" i="1"/>
  <c r="O208" i="1"/>
  <c r="O207" i="1"/>
  <c r="O206" i="1"/>
  <c r="O205" i="1"/>
  <c r="O204" i="1"/>
  <c r="O203" i="1"/>
  <c r="O202" i="1"/>
  <c r="O201" i="1"/>
  <c r="O200" i="1"/>
  <c r="O199" i="1"/>
  <c r="O198" i="1"/>
  <c r="O153" i="1"/>
  <c r="O152" i="1"/>
  <c r="O151" i="1"/>
  <c r="O150" i="1"/>
  <c r="O149" i="1"/>
  <c r="O148" i="1"/>
  <c r="O147" i="1"/>
  <c r="O146" i="1"/>
  <c r="O145" i="1"/>
  <c r="O144" i="1"/>
  <c r="O139" i="1"/>
  <c r="O138" i="1"/>
  <c r="O137" i="1"/>
  <c r="O128" i="1"/>
  <c r="O127" i="1"/>
  <c r="O126" i="1"/>
  <c r="O125" i="1"/>
  <c r="O124" i="1"/>
  <c r="O123" i="1"/>
  <c r="O122" i="1"/>
  <c r="O112" i="1"/>
  <c r="O111" i="1"/>
  <c r="O110" i="1"/>
  <c r="O99" i="1"/>
  <c r="O98" i="1"/>
  <c r="O97" i="1"/>
  <c r="O96" i="1"/>
  <c r="O95" i="1"/>
  <c r="O94" i="1"/>
  <c r="O93" i="1"/>
  <c r="O86" i="1"/>
  <c r="O56" i="1"/>
  <c r="O55" i="1"/>
  <c r="O54" i="1"/>
  <c r="O53" i="1"/>
  <c r="O52" i="1"/>
  <c r="O51" i="1"/>
  <c r="O50" i="1"/>
  <c r="O49" i="1"/>
  <c r="O47" i="1"/>
  <c r="M124" i="1"/>
  <c r="M148" i="1"/>
  <c r="L148" i="1"/>
  <c r="L264" i="1"/>
  <c r="K124" i="1"/>
  <c r="L110" i="1"/>
  <c r="L146" i="1"/>
  <c r="I224" i="1"/>
  <c r="L262" i="1"/>
  <c r="J201" i="1"/>
  <c r="K123" i="1"/>
  <c r="I139" i="1"/>
  <c r="G97" i="1"/>
  <c r="M199" i="1"/>
  <c r="K148" i="1"/>
  <c r="K206" i="1"/>
  <c r="I128" i="1"/>
  <c r="I209" i="1"/>
  <c r="L111" i="1"/>
  <c r="J86" i="1"/>
  <c r="J94" i="1"/>
  <c r="I52" i="1"/>
  <c r="M218" i="1"/>
  <c r="I127" i="1"/>
  <c r="M53" i="1"/>
  <c r="G263" i="1"/>
  <c r="G207" i="1"/>
  <c r="M153" i="1"/>
  <c r="J209" i="1"/>
  <c r="J50" i="1"/>
  <c r="H55" i="1"/>
  <c r="J99" i="1"/>
  <c r="G223" i="1"/>
  <c r="I152" i="1"/>
  <c r="M137" i="1"/>
  <c r="I151" i="1"/>
  <c r="K86" i="1"/>
  <c r="M150" i="1"/>
  <c r="I94" i="1"/>
  <c r="L123" i="1"/>
  <c r="H52" i="1"/>
  <c r="K127" i="1"/>
  <c r="J56" i="1"/>
  <c r="L223" i="1"/>
  <c r="G111" i="1"/>
  <c r="K144" i="1"/>
  <c r="I203" i="1"/>
  <c r="G98" i="1"/>
  <c r="I261" i="1"/>
  <c r="I208" i="1"/>
  <c r="H112" i="1"/>
  <c r="L122" i="1"/>
  <c r="G153" i="1"/>
  <c r="G199" i="1"/>
  <c r="K153" i="1"/>
  <c r="K94" i="1"/>
  <c r="G99" i="1"/>
  <c r="L199" i="1"/>
  <c r="L125" i="1"/>
  <c r="G266" i="1"/>
  <c r="L48" i="1"/>
  <c r="L50" i="1"/>
  <c r="L200" i="1"/>
  <c r="G221" i="1"/>
  <c r="J205" i="1"/>
  <c r="M50" i="1"/>
  <c r="H145" i="1"/>
  <c r="L152" i="1"/>
  <c r="I257" i="1"/>
  <c r="J122" i="1"/>
  <c r="H219" i="1"/>
  <c r="K47" i="1"/>
  <c r="M258" i="1"/>
  <c r="I222" i="1"/>
  <c r="J207" i="1"/>
  <c r="I124" i="1"/>
  <c r="M222" i="1"/>
  <c r="M144" i="1"/>
  <c r="H203" i="1"/>
  <c r="H152" i="1"/>
  <c r="J150" i="1"/>
  <c r="J208" i="1"/>
  <c r="L55" i="1"/>
  <c r="H217" i="1"/>
  <c r="L206" i="1"/>
  <c r="L265" i="1"/>
  <c r="G145" i="1"/>
  <c r="J147" i="1"/>
  <c r="J126" i="1"/>
  <c r="J49" i="1"/>
  <c r="L126" i="1"/>
  <c r="L198" i="1"/>
  <c r="L47" i="1"/>
  <c r="L145" i="1"/>
  <c r="I147" i="1"/>
  <c r="G203" i="1"/>
  <c r="G147" i="1"/>
  <c r="G139" i="1"/>
  <c r="M203" i="1"/>
  <c r="I110" i="1"/>
  <c r="M210" i="1"/>
  <c r="M55" i="1"/>
  <c r="K208" i="1"/>
  <c r="G47" i="1"/>
  <c r="J145" i="1"/>
  <c r="L207" i="1"/>
  <c r="J224" i="1"/>
  <c r="H50" i="1"/>
  <c r="G209" i="1"/>
  <c r="J265" i="1"/>
  <c r="H149" i="1"/>
  <c r="K112" i="1"/>
  <c r="H263" i="1"/>
  <c r="I55" i="1"/>
  <c r="L127" i="1"/>
  <c r="M111" i="1"/>
  <c r="I199" i="1"/>
  <c r="G204" i="1"/>
  <c r="H56" i="1"/>
  <c r="M265" i="1"/>
  <c r="H93" i="1"/>
  <c r="L222" i="1"/>
  <c r="H264" i="1"/>
  <c r="M204" i="1"/>
  <c r="K150" i="1"/>
  <c r="J128" i="1"/>
  <c r="M138" i="1"/>
  <c r="J144" i="1"/>
  <c r="M220" i="1"/>
  <c r="K147" i="1"/>
  <c r="K93" i="1"/>
  <c r="M54" i="1"/>
  <c r="H210" i="1"/>
  <c r="I123" i="1"/>
  <c r="J55" i="1"/>
  <c r="H150" i="1"/>
  <c r="M151" i="1"/>
  <c r="K223" i="1"/>
  <c r="I204" i="1"/>
  <c r="L128" i="1"/>
  <c r="M127" i="1"/>
  <c r="I51" i="1"/>
  <c r="H127" i="1"/>
  <c r="H266" i="1"/>
  <c r="K96" i="1"/>
  <c r="L209" i="1"/>
  <c r="K218" i="1"/>
  <c r="J262" i="1"/>
  <c r="K139" i="1"/>
  <c r="K53" i="1"/>
  <c r="J222" i="1"/>
  <c r="J111" i="1"/>
  <c r="J54" i="1"/>
  <c r="H99" i="1"/>
  <c r="I263" i="1"/>
  <c r="G52" i="1"/>
  <c r="H123" i="1"/>
  <c r="G261" i="1"/>
  <c r="J266" i="1"/>
  <c r="G48" i="1"/>
  <c r="K205" i="1"/>
  <c r="I200" i="1"/>
  <c r="K263" i="1"/>
  <c r="H96" i="1"/>
  <c r="K219" i="1"/>
  <c r="J48" i="1"/>
  <c r="I206" i="1"/>
  <c r="G122" i="1"/>
  <c r="L203" i="1"/>
  <c r="H224" i="1"/>
  <c r="J123" i="1"/>
  <c r="M146" i="1"/>
  <c r="G222" i="1"/>
  <c r="I126" i="1"/>
  <c r="I111" i="1"/>
  <c r="M259" i="1"/>
  <c r="H205" i="1"/>
  <c r="I258" i="1"/>
  <c r="H202" i="1"/>
  <c r="G96" i="1"/>
  <c r="G150" i="1"/>
  <c r="L153" i="1"/>
  <c r="L205" i="1"/>
  <c r="G149" i="1"/>
  <c r="I259" i="1"/>
  <c r="K221" i="1"/>
  <c r="G259" i="1"/>
  <c r="I99" i="1"/>
  <c r="L139" i="1"/>
  <c r="J52" i="1"/>
  <c r="G258" i="1"/>
  <c r="G94" i="1"/>
  <c r="K126" i="1"/>
  <c r="L150" i="1"/>
  <c r="H265" i="1"/>
  <c r="J203" i="1"/>
  <c r="K128" i="1"/>
  <c r="K224" i="1"/>
  <c r="J263" i="1"/>
  <c r="L147" i="1"/>
  <c r="G220" i="1"/>
  <c r="I202" i="1"/>
  <c r="L208" i="1"/>
  <c r="H222" i="1"/>
  <c r="K55" i="1"/>
  <c r="L217" i="1"/>
  <c r="H221" i="1"/>
  <c r="I145" i="1"/>
  <c r="J112" i="1"/>
  <c r="H144" i="1"/>
  <c r="M47" i="1"/>
  <c r="J125" i="1"/>
  <c r="H198" i="1"/>
  <c r="H153" i="1"/>
  <c r="H126" i="1"/>
  <c r="H97" i="1"/>
  <c r="K122" i="1"/>
  <c r="H111" i="1"/>
  <c r="K201" i="1"/>
  <c r="K145" i="1"/>
  <c r="K257" i="1"/>
  <c r="J257" i="1"/>
  <c r="L266" i="1"/>
  <c r="G201" i="1"/>
  <c r="K207" i="1"/>
  <c r="H95" i="1"/>
  <c r="H137" i="1"/>
  <c r="G95" i="1"/>
  <c r="I56" i="1"/>
  <c r="J218" i="1"/>
  <c r="J153" i="1"/>
  <c r="K209" i="1"/>
  <c r="G224" i="1"/>
  <c r="G205" i="1"/>
  <c r="K138" i="1"/>
  <c r="L201" i="1"/>
  <c r="M202" i="1"/>
  <c r="H259" i="1"/>
  <c r="M209" i="1"/>
  <c r="L54" i="1"/>
  <c r="J51" i="1"/>
  <c r="I198" i="1"/>
  <c r="J260" i="1"/>
  <c r="G210" i="1"/>
  <c r="L137" i="1"/>
  <c r="K222" i="1"/>
  <c r="I149" i="1"/>
  <c r="M206" i="1"/>
  <c r="J152" i="1"/>
  <c r="I125" i="1"/>
  <c r="I153" i="1"/>
  <c r="J220" i="1"/>
  <c r="G124" i="1"/>
  <c r="I221" i="1"/>
  <c r="I146" i="1"/>
  <c r="L95" i="1"/>
  <c r="G128" i="1"/>
  <c r="K137" i="1"/>
  <c r="J137" i="1"/>
  <c r="I98" i="1"/>
  <c r="G50" i="1"/>
  <c r="H220" i="1"/>
  <c r="G217" i="1"/>
  <c r="G55" i="1"/>
  <c r="H138" i="1"/>
  <c r="H122" i="1"/>
  <c r="L220" i="1"/>
  <c r="G208" i="1"/>
  <c r="G151" i="1"/>
  <c r="L144" i="1"/>
  <c r="J47" i="1"/>
  <c r="I54" i="1"/>
  <c r="H207" i="1"/>
  <c r="J93" i="1"/>
  <c r="I205" i="1"/>
  <c r="L219" i="1"/>
  <c r="H262" i="1"/>
  <c r="J146" i="1"/>
  <c r="K49" i="1"/>
  <c r="M48" i="1"/>
  <c r="M257" i="1"/>
  <c r="H98" i="1"/>
  <c r="K48" i="1"/>
  <c r="M56" i="1"/>
  <c r="G49" i="1"/>
  <c r="H124" i="1"/>
  <c r="H128" i="1"/>
  <c r="L210" i="1"/>
  <c r="M217" i="1"/>
  <c r="K51" i="1"/>
  <c r="G198" i="1"/>
  <c r="J199" i="1"/>
  <c r="M96" i="1"/>
  <c r="L202" i="1"/>
  <c r="H53" i="1"/>
  <c r="K217" i="1"/>
  <c r="J221" i="1"/>
  <c r="M263" i="1"/>
  <c r="L138" i="1"/>
  <c r="K266" i="1"/>
  <c r="I266" i="1"/>
  <c r="I97" i="1"/>
  <c r="K265" i="1"/>
  <c r="K258" i="1"/>
  <c r="M110" i="1"/>
  <c r="I148" i="1"/>
  <c r="H48" i="1"/>
  <c r="H208" i="1"/>
  <c r="K198" i="1"/>
  <c r="L221" i="1"/>
  <c r="J219" i="1"/>
  <c r="M98" i="1"/>
  <c r="K262" i="1"/>
  <c r="M205" i="1"/>
  <c r="G86" i="1"/>
  <c r="J210" i="1"/>
  <c r="L112" i="1"/>
  <c r="K200" i="1"/>
  <c r="L261" i="1"/>
  <c r="G144" i="1"/>
  <c r="M125" i="1"/>
  <c r="M123" i="1"/>
  <c r="M51" i="1"/>
  <c r="L53" i="1"/>
  <c r="J202" i="1"/>
  <c r="J96" i="1"/>
  <c r="L151" i="1"/>
  <c r="I210" i="1"/>
  <c r="H218" i="1"/>
  <c r="M219" i="1"/>
  <c r="L49" i="1"/>
  <c r="K125" i="1"/>
  <c r="J217" i="1"/>
  <c r="G53" i="1"/>
  <c r="K97" i="1"/>
  <c r="M112" i="1"/>
  <c r="J259" i="1"/>
  <c r="J223" i="1"/>
  <c r="M94" i="1"/>
  <c r="M198" i="1"/>
  <c r="M139" i="1"/>
  <c r="L218" i="1"/>
  <c r="L149" i="1"/>
  <c r="M93" i="1"/>
  <c r="L204" i="1"/>
  <c r="L98" i="1"/>
  <c r="H47" i="1"/>
  <c r="M208" i="1"/>
  <c r="I122" i="1"/>
  <c r="K52" i="1"/>
  <c r="H54" i="1"/>
  <c r="K95" i="1"/>
  <c r="I93" i="1"/>
  <c r="G110" i="1"/>
  <c r="L263" i="1"/>
  <c r="I207" i="1"/>
  <c r="M95" i="1"/>
  <c r="G262" i="1"/>
  <c r="M207" i="1"/>
  <c r="L86" i="1"/>
  <c r="H94" i="1"/>
  <c r="G265" i="1"/>
  <c r="M49" i="1"/>
  <c r="J110" i="1"/>
  <c r="L56" i="1"/>
  <c r="I219" i="1"/>
  <c r="K110" i="1"/>
  <c r="K264" i="1"/>
  <c r="H151" i="1"/>
  <c r="M149" i="1"/>
  <c r="L94" i="1"/>
  <c r="J97" i="1"/>
  <c r="J198" i="1"/>
  <c r="I265" i="1"/>
  <c r="H125" i="1"/>
  <c r="K259" i="1"/>
  <c r="H260" i="1"/>
  <c r="M128" i="1"/>
  <c r="H86" i="1"/>
  <c r="I150" i="1"/>
  <c r="G200" i="1"/>
  <c r="M152" i="1"/>
  <c r="H51" i="1"/>
  <c r="M261" i="1"/>
  <c r="J258" i="1"/>
  <c r="K203" i="1"/>
  <c r="L124" i="1"/>
  <c r="K98" i="1"/>
  <c r="K202" i="1"/>
  <c r="M86" i="1"/>
  <c r="G127" i="1"/>
  <c r="J124" i="1"/>
  <c r="L260" i="1"/>
  <c r="K146" i="1"/>
  <c r="I95" i="1"/>
  <c r="L52" i="1"/>
  <c r="I112" i="1"/>
  <c r="G202" i="1"/>
  <c r="G123" i="1"/>
  <c r="I138" i="1"/>
  <c r="G51" i="1"/>
  <c r="M221" i="1"/>
  <c r="G264" i="1"/>
  <c r="I53" i="1"/>
  <c r="M201" i="1"/>
  <c r="L257" i="1"/>
  <c r="G126" i="1"/>
  <c r="H139" i="1"/>
  <c r="H257" i="1"/>
  <c r="M99" i="1"/>
  <c r="I223" i="1"/>
  <c r="L97" i="1"/>
  <c r="I48" i="1"/>
  <c r="G56" i="1"/>
  <c r="K99" i="1"/>
  <c r="M122" i="1"/>
  <c r="K204" i="1"/>
  <c r="J53" i="1"/>
  <c r="K152" i="1"/>
  <c r="M262" i="1"/>
  <c r="M264" i="1"/>
  <c r="H209" i="1"/>
  <c r="G137" i="1"/>
  <c r="M147" i="1"/>
  <c r="I217" i="1"/>
  <c r="M200" i="1"/>
  <c r="J151" i="1"/>
  <c r="J204" i="1"/>
  <c r="H148" i="1"/>
  <c r="M266" i="1"/>
  <c r="L259" i="1"/>
  <c r="K261" i="1"/>
  <c r="I220" i="1"/>
  <c r="J139" i="1"/>
  <c r="L51" i="1"/>
  <c r="K56" i="1"/>
  <c r="K151" i="1"/>
  <c r="H146" i="1"/>
  <c r="G257" i="1"/>
  <c r="I264" i="1"/>
  <c r="H201" i="1"/>
  <c r="M223" i="1"/>
  <c r="H261" i="1"/>
  <c r="J206" i="1"/>
  <c r="G138" i="1"/>
  <c r="L96" i="1"/>
  <c r="G148" i="1"/>
  <c r="K111" i="1"/>
  <c r="M145" i="1"/>
  <c r="I218" i="1"/>
  <c r="J149" i="1"/>
  <c r="J95" i="1"/>
  <c r="J148" i="1"/>
  <c r="I47" i="1"/>
  <c r="M52" i="1"/>
  <c r="L99" i="1"/>
  <c r="G152" i="1"/>
  <c r="I86" i="1"/>
  <c r="H204" i="1"/>
  <c r="H206" i="1"/>
  <c r="K54" i="1"/>
  <c r="K149" i="1"/>
  <c r="I50" i="1"/>
  <c r="G219" i="1"/>
  <c r="M97" i="1"/>
  <c r="G260" i="1"/>
  <c r="H200" i="1"/>
  <c r="L224" i="1"/>
  <c r="J200" i="1"/>
  <c r="J264" i="1"/>
  <c r="H147" i="1"/>
  <c r="H49" i="1"/>
  <c r="G93" i="1"/>
  <c r="J127" i="1"/>
  <c r="I96" i="1"/>
  <c r="I137" i="1"/>
  <c r="H223" i="1"/>
  <c r="I49" i="1"/>
  <c r="K260" i="1"/>
  <c r="J138" i="1"/>
  <c r="H258" i="1"/>
  <c r="G54" i="1"/>
  <c r="M224" i="1"/>
  <c r="G206" i="1"/>
  <c r="J261" i="1"/>
  <c r="K220" i="1"/>
  <c r="I201" i="1"/>
  <c r="M260" i="1"/>
  <c r="G218" i="1"/>
  <c r="H110" i="1"/>
  <c r="G146" i="1"/>
  <c r="I144" i="1"/>
  <c r="H199" i="1"/>
  <c r="G125" i="1"/>
  <c r="L93" i="1"/>
  <c r="K50" i="1"/>
  <c r="I262" i="1"/>
  <c r="M126" i="1"/>
  <c r="J98" i="1"/>
  <c r="I260" i="1"/>
  <c r="G112" i="1"/>
  <c r="K199" i="1"/>
  <c r="L258" i="1"/>
  <c r="K210" i="1"/>
  <c r="N259" i="1" l="1"/>
  <c r="N263" i="1"/>
  <c r="N266" i="1"/>
  <c r="N258" i="1"/>
  <c r="N262" i="1"/>
  <c r="N257" i="1"/>
  <c r="N261" i="1"/>
  <c r="N265" i="1"/>
  <c r="N260" i="1"/>
  <c r="N264" i="1"/>
  <c r="N217" i="1"/>
  <c r="N221" i="1"/>
  <c r="N220" i="1"/>
  <c r="N224" i="1"/>
  <c r="N219" i="1"/>
  <c r="N223" i="1"/>
  <c r="N218" i="1"/>
  <c r="N222" i="1"/>
  <c r="N199" i="1"/>
  <c r="N203" i="1"/>
  <c r="N207" i="1"/>
  <c r="N202" i="1"/>
  <c r="N206" i="1"/>
  <c r="N210" i="1"/>
  <c r="N198" i="1"/>
  <c r="N201" i="1"/>
  <c r="N205" i="1"/>
  <c r="N209" i="1"/>
  <c r="N200" i="1"/>
  <c r="N204" i="1"/>
  <c r="N208" i="1"/>
  <c r="N151" i="1"/>
  <c r="N146" i="1"/>
  <c r="N150" i="1"/>
  <c r="N145" i="1"/>
  <c r="N153" i="1"/>
  <c r="N149" i="1"/>
  <c r="N144" i="1"/>
  <c r="N148" i="1"/>
  <c r="N152" i="1"/>
  <c r="N147" i="1"/>
  <c r="N126" i="1"/>
  <c r="N124" i="1"/>
  <c r="N128" i="1"/>
  <c r="N122" i="1"/>
  <c r="N138" i="1"/>
  <c r="N123" i="1"/>
  <c r="N127" i="1"/>
  <c r="N139" i="1"/>
  <c r="N125" i="1"/>
  <c r="N137" i="1"/>
  <c r="N95" i="1"/>
  <c r="N99" i="1"/>
  <c r="N98" i="1"/>
  <c r="N112" i="1"/>
  <c r="N94" i="1"/>
  <c r="N93" i="1"/>
  <c r="N97" i="1"/>
  <c r="N111" i="1"/>
  <c r="N96" i="1"/>
  <c r="N110" i="1"/>
  <c r="N49" i="1"/>
  <c r="N47" i="1"/>
  <c r="N50" i="1"/>
  <c r="N54" i="1"/>
  <c r="N52" i="1"/>
  <c r="N51" i="1"/>
  <c r="N55" i="1"/>
  <c r="N53" i="1"/>
  <c r="N86" i="1"/>
  <c r="N48" i="1"/>
  <c r="N56" i="1"/>
  <c r="O256" i="1"/>
  <c r="O255" i="1"/>
  <c r="O254" i="1"/>
  <c r="O253" i="1"/>
  <c r="O252" i="1"/>
  <c r="O228" i="1"/>
  <c r="O225" i="1"/>
  <c r="O216" i="1"/>
  <c r="O211" i="1"/>
  <c r="O197" i="1"/>
  <c r="O196" i="1"/>
  <c r="O195" i="1"/>
  <c r="O191" i="1"/>
  <c r="O190" i="1"/>
  <c r="O189" i="1"/>
  <c r="O188" i="1"/>
  <c r="O157" i="1"/>
  <c r="O156" i="1"/>
  <c r="O155" i="1"/>
  <c r="O154" i="1"/>
  <c r="O143" i="1"/>
  <c r="O140" i="1"/>
  <c r="O121" i="1"/>
  <c r="O120" i="1"/>
  <c r="O119" i="1"/>
  <c r="O118" i="1"/>
  <c r="O117" i="1"/>
  <c r="O113" i="1"/>
  <c r="O92" i="1"/>
  <c r="O91" i="1"/>
  <c r="O90" i="1"/>
  <c r="O89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I22" i="1"/>
  <c r="H92" i="1"/>
  <c r="K21" i="1"/>
  <c r="L191" i="1"/>
  <c r="H155" i="1"/>
  <c r="L91" i="1"/>
  <c r="H154" i="1"/>
  <c r="L36" i="1"/>
  <c r="L31" i="1"/>
  <c r="J120" i="1"/>
  <c r="L46" i="1"/>
  <c r="K26" i="1"/>
  <c r="L23" i="1"/>
  <c r="J195" i="1"/>
  <c r="H44" i="1"/>
  <c r="M42" i="1"/>
  <c r="M196" i="1"/>
  <c r="I21" i="1"/>
  <c r="K191" i="1"/>
  <c r="M23" i="1"/>
  <c r="K27" i="1"/>
  <c r="I41" i="1"/>
  <c r="L32" i="1"/>
  <c r="L39" i="1"/>
  <c r="L89" i="1"/>
  <c r="L156" i="1"/>
  <c r="L118" i="1"/>
  <c r="L196" i="1"/>
  <c r="J254" i="1"/>
  <c r="I118" i="1"/>
  <c r="K252" i="1"/>
  <c r="K197" i="1"/>
  <c r="L143" i="1"/>
  <c r="K20" i="1"/>
  <c r="H255" i="1"/>
  <c r="H140" i="1"/>
  <c r="J117" i="1"/>
  <c r="L26" i="1"/>
  <c r="M22" i="1"/>
  <c r="K89" i="1"/>
  <c r="L27" i="1"/>
  <c r="H31" i="1"/>
  <c r="I91" i="1"/>
  <c r="J216" i="1"/>
  <c r="L37" i="1"/>
  <c r="I23" i="1"/>
  <c r="H157" i="1"/>
  <c r="G191" i="1"/>
  <c r="K35" i="1"/>
  <c r="G228" i="1"/>
  <c r="K36" i="1"/>
  <c r="I26" i="1"/>
  <c r="G89" i="1"/>
  <c r="J37" i="1"/>
  <c r="L195" i="1"/>
  <c r="K195" i="1"/>
  <c r="J140" i="1"/>
  <c r="I121" i="1"/>
  <c r="L20" i="1"/>
  <c r="K22" i="1"/>
  <c r="M228" i="1"/>
  <c r="M27" i="1"/>
  <c r="H252" i="1"/>
  <c r="M113" i="1"/>
  <c r="I120" i="1"/>
  <c r="G42" i="1"/>
  <c r="K33" i="1"/>
  <c r="H22" i="1"/>
  <c r="K189" i="1"/>
  <c r="J30" i="1"/>
  <c r="J118" i="1"/>
  <c r="K31" i="1"/>
  <c r="L189" i="1"/>
  <c r="J253" i="1"/>
  <c r="L190" i="1"/>
  <c r="J39" i="1"/>
  <c r="J154" i="1"/>
  <c r="I225" i="1"/>
  <c r="M45" i="1"/>
  <c r="H89" i="1"/>
  <c r="J255" i="1"/>
  <c r="J31" i="1"/>
  <c r="M143" i="1"/>
  <c r="I189" i="1"/>
  <c r="L254" i="1"/>
  <c r="H30" i="1"/>
  <c r="H32" i="1"/>
  <c r="J225" i="1"/>
  <c r="M256" i="1"/>
  <c r="I32" i="1"/>
  <c r="L253" i="1"/>
  <c r="J197" i="1"/>
  <c r="G255" i="1"/>
  <c r="J35" i="1"/>
  <c r="H38" i="1"/>
  <c r="L121" i="1"/>
  <c r="I20" i="1"/>
  <c r="M191" i="1"/>
  <c r="G92" i="1"/>
  <c r="L140" i="1"/>
  <c r="L255" i="1"/>
  <c r="H40" i="1"/>
  <c r="J188" i="1"/>
  <c r="M190" i="1"/>
  <c r="H197" i="1"/>
  <c r="H119" i="1"/>
  <c r="G117" i="1"/>
  <c r="H19" i="1"/>
  <c r="I27" i="1"/>
  <c r="I216" i="1"/>
  <c r="I143" i="1"/>
  <c r="K41" i="1"/>
  <c r="K121" i="1"/>
  <c r="J33" i="1"/>
  <c r="I117" i="1"/>
  <c r="I252" i="1"/>
  <c r="J121" i="1"/>
  <c r="G121" i="1"/>
  <c r="J155" i="1"/>
  <c r="G119" i="1"/>
  <c r="L90" i="1"/>
  <c r="I113" i="1"/>
  <c r="K118" i="1"/>
  <c r="M120" i="1"/>
  <c r="I156" i="1"/>
  <c r="L252" i="1"/>
  <c r="J21" i="1"/>
  <c r="I155" i="1"/>
  <c r="I89" i="1"/>
  <c r="K25" i="1"/>
  <c r="L155" i="1"/>
  <c r="J113" i="1"/>
  <c r="H216" i="1"/>
  <c r="M121" i="1"/>
  <c r="M38" i="1"/>
  <c r="J91" i="1"/>
  <c r="H33" i="1"/>
  <c r="L30" i="1"/>
  <c r="H24" i="1"/>
  <c r="G40" i="1"/>
  <c r="J189" i="1"/>
  <c r="H28" i="1"/>
  <c r="K90" i="1"/>
  <c r="M89" i="1"/>
  <c r="M195" i="1"/>
  <c r="H90" i="1"/>
  <c r="L225" i="1"/>
  <c r="H39" i="1"/>
  <c r="G91" i="1"/>
  <c r="J89" i="1"/>
  <c r="L154" i="1"/>
  <c r="K143" i="1"/>
  <c r="M29" i="1"/>
  <c r="M39" i="1"/>
  <c r="K253" i="1"/>
  <c r="L19" i="1"/>
  <c r="H43" i="1"/>
  <c r="K45" i="1"/>
  <c r="G155" i="1"/>
  <c r="M28" i="1"/>
  <c r="M32" i="1"/>
  <c r="M140" i="1"/>
  <c r="H121" i="1"/>
  <c r="L216" i="1"/>
  <c r="K24" i="1"/>
  <c r="H37" i="1"/>
  <c r="M46" i="1"/>
  <c r="G90" i="1"/>
  <c r="I44" i="1"/>
  <c r="J38" i="1"/>
  <c r="M90" i="1"/>
  <c r="J36" i="1"/>
  <c r="M211" i="1"/>
  <c r="H256" i="1"/>
  <c r="M40" i="1"/>
  <c r="M30" i="1"/>
  <c r="L45" i="1"/>
  <c r="K196" i="1"/>
  <c r="L119" i="1"/>
  <c r="M33" i="1"/>
  <c r="H46" i="1"/>
  <c r="I46" i="1"/>
  <c r="K32" i="1"/>
  <c r="H20" i="1"/>
  <c r="K228" i="1"/>
  <c r="G216" i="1"/>
  <c r="I90" i="1"/>
  <c r="M189" i="1"/>
  <c r="K28" i="1"/>
  <c r="I31" i="1"/>
  <c r="J256" i="1"/>
  <c r="G118" i="1"/>
  <c r="M156" i="1"/>
  <c r="M21" i="1"/>
  <c r="L211" i="1"/>
  <c r="J191" i="1"/>
  <c r="M157" i="1"/>
  <c r="I154" i="1"/>
  <c r="M92" i="1"/>
  <c r="H29" i="1"/>
  <c r="G46" i="1"/>
  <c r="H23" i="1"/>
  <c r="K216" i="1"/>
  <c r="K34" i="1"/>
  <c r="I39" i="1"/>
  <c r="H45" i="1"/>
  <c r="K23" i="1"/>
  <c r="L29" i="1"/>
  <c r="K155" i="1"/>
  <c r="L188" i="1"/>
  <c r="G140" i="1"/>
  <c r="J157" i="1"/>
  <c r="H25" i="1"/>
  <c r="I157" i="1"/>
  <c r="I28" i="1"/>
  <c r="J41" i="1"/>
  <c r="J119" i="1"/>
  <c r="I30" i="1"/>
  <c r="J27" i="1"/>
  <c r="K211" i="1"/>
  <c r="K42" i="1"/>
  <c r="L42" i="1"/>
  <c r="G45" i="1"/>
  <c r="H117" i="1"/>
  <c r="L117" i="1"/>
  <c r="I29" i="1"/>
  <c r="M255" i="1"/>
  <c r="I36" i="1"/>
  <c r="J25" i="1"/>
  <c r="K29" i="1"/>
  <c r="I197" i="1"/>
  <c r="H188" i="1"/>
  <c r="J19" i="1"/>
  <c r="I40" i="1"/>
  <c r="M154" i="1"/>
  <c r="K30" i="1"/>
  <c r="K157" i="1"/>
  <c r="M197" i="1"/>
  <c r="H113" i="1"/>
  <c r="I140" i="1"/>
  <c r="J143" i="1"/>
  <c r="K225" i="1"/>
  <c r="M19" i="1"/>
  <c r="J29" i="1"/>
  <c r="M253" i="1"/>
  <c r="K39" i="1"/>
  <c r="L28" i="1"/>
  <c r="M37" i="1"/>
  <c r="M35" i="1"/>
  <c r="L33" i="1"/>
  <c r="H91" i="1"/>
  <c r="K40" i="1"/>
  <c r="J211" i="1"/>
  <c r="G154" i="1"/>
  <c r="J228" i="1"/>
  <c r="I195" i="1"/>
  <c r="I19" i="1"/>
  <c r="I211" i="1"/>
  <c r="H34" i="1"/>
  <c r="J43" i="1"/>
  <c r="L197" i="1"/>
  <c r="M20" i="1"/>
  <c r="M216" i="1"/>
  <c r="K44" i="1"/>
  <c r="G256" i="1"/>
  <c r="K46" i="1"/>
  <c r="I43" i="1"/>
  <c r="L38" i="1"/>
  <c r="I34" i="1"/>
  <c r="M91" i="1"/>
  <c r="H27" i="1"/>
  <c r="I37" i="1"/>
  <c r="L157" i="1"/>
  <c r="H35" i="1"/>
  <c r="L44" i="1"/>
  <c r="L120" i="1"/>
  <c r="K113" i="1"/>
  <c r="L21" i="1"/>
  <c r="M34" i="1"/>
  <c r="G43" i="1"/>
  <c r="M117" i="1"/>
  <c r="K43" i="1"/>
  <c r="H189" i="1"/>
  <c r="I196" i="1"/>
  <c r="L228" i="1"/>
  <c r="M36" i="1"/>
  <c r="H225" i="1"/>
  <c r="I228" i="1"/>
  <c r="M225" i="1"/>
  <c r="J23" i="1"/>
  <c r="H228" i="1"/>
  <c r="H190" i="1"/>
  <c r="K255" i="1"/>
  <c r="L113" i="1"/>
  <c r="K256" i="1"/>
  <c r="G156" i="1"/>
  <c r="K188" i="1"/>
  <c r="K117" i="1"/>
  <c r="J92" i="1"/>
  <c r="I254" i="1"/>
  <c r="L25" i="1"/>
  <c r="J20" i="1"/>
  <c r="G143" i="1"/>
  <c r="M252" i="1"/>
  <c r="L35" i="1"/>
  <c r="H254" i="1"/>
  <c r="G197" i="1"/>
  <c r="L22" i="1"/>
  <c r="J32" i="1"/>
  <c r="I45" i="1"/>
  <c r="I35" i="1"/>
  <c r="M119" i="1"/>
  <c r="J40" i="1"/>
  <c r="K156" i="1"/>
  <c r="G190" i="1"/>
  <c r="I119" i="1"/>
  <c r="H36" i="1"/>
  <c r="I256" i="1"/>
  <c r="G41" i="1"/>
  <c r="G225" i="1"/>
  <c r="K120" i="1"/>
  <c r="M26" i="1"/>
  <c r="I38" i="1"/>
  <c r="L43" i="1"/>
  <c r="M118" i="1"/>
  <c r="H143" i="1"/>
  <c r="H118" i="1"/>
  <c r="J22" i="1"/>
  <c r="L24" i="1"/>
  <c r="I42" i="1"/>
  <c r="H211" i="1"/>
  <c r="M25" i="1"/>
  <c r="J28" i="1"/>
  <c r="G253" i="1"/>
  <c r="J252" i="1"/>
  <c r="J156" i="1"/>
  <c r="K38" i="1"/>
  <c r="G189" i="1"/>
  <c r="I25" i="1"/>
  <c r="M44" i="1"/>
  <c r="J196" i="1"/>
  <c r="K254" i="1"/>
  <c r="L41" i="1"/>
  <c r="H195" i="1"/>
  <c r="J34" i="1"/>
  <c r="J44" i="1"/>
  <c r="I191" i="1"/>
  <c r="J42" i="1"/>
  <c r="M41" i="1"/>
  <c r="L34" i="1"/>
  <c r="J45" i="1"/>
  <c r="K119" i="1"/>
  <c r="L40" i="1"/>
  <c r="I24" i="1"/>
  <c r="I33" i="1"/>
  <c r="G120" i="1"/>
  <c r="H41" i="1"/>
  <c r="M254" i="1"/>
  <c r="G188" i="1"/>
  <c r="M24" i="1"/>
  <c r="H156" i="1"/>
  <c r="M155" i="1"/>
  <c r="I190" i="1"/>
  <c r="K190" i="1"/>
  <c r="J26" i="1"/>
  <c r="J90" i="1"/>
  <c r="L256" i="1"/>
  <c r="K140" i="1"/>
  <c r="K19" i="1"/>
  <c r="G254" i="1"/>
  <c r="I92" i="1"/>
  <c r="H42" i="1"/>
  <c r="G211" i="1"/>
  <c r="K91" i="1"/>
  <c r="J190" i="1"/>
  <c r="J46" i="1"/>
  <c r="H120" i="1"/>
  <c r="M31" i="1"/>
  <c r="J24" i="1"/>
  <c r="H191" i="1"/>
  <c r="H253" i="1"/>
  <c r="G157" i="1"/>
  <c r="H21" i="1"/>
  <c r="M43" i="1"/>
  <c r="I255" i="1"/>
  <c r="K37" i="1"/>
  <c r="G44" i="1"/>
  <c r="I188" i="1"/>
  <c r="L92" i="1"/>
  <c r="K92" i="1"/>
  <c r="K154" i="1"/>
  <c r="I253" i="1"/>
  <c r="G252" i="1"/>
  <c r="H26" i="1"/>
  <c r="G113" i="1"/>
  <c r="M188" i="1"/>
  <c r="N253" i="1" l="1"/>
  <c r="N252" i="1"/>
  <c r="N256" i="1"/>
  <c r="N255" i="1"/>
  <c r="N254" i="1"/>
  <c r="N228" i="1"/>
  <c r="N225" i="1"/>
  <c r="N216" i="1"/>
  <c r="N195" i="1"/>
  <c r="N211" i="1"/>
  <c r="N197" i="1"/>
  <c r="N188" i="1"/>
  <c r="N190" i="1"/>
  <c r="N191" i="1"/>
  <c r="N189" i="1"/>
  <c r="N154" i="1"/>
  <c r="N156" i="1"/>
  <c r="N155" i="1"/>
  <c r="N143" i="1"/>
  <c r="N157" i="1"/>
  <c r="N119" i="1"/>
  <c r="N120" i="1"/>
  <c r="N140" i="1"/>
  <c r="N117" i="1"/>
  <c r="N118" i="1"/>
  <c r="N121" i="1"/>
  <c r="N91" i="1"/>
  <c r="N90" i="1"/>
  <c r="N89" i="1"/>
  <c r="N113" i="1"/>
  <c r="N92" i="1"/>
  <c r="N38" i="1"/>
  <c r="N20" i="1"/>
  <c r="N24" i="1"/>
  <c r="N28" i="1"/>
  <c r="N32" i="1"/>
  <c r="N36" i="1"/>
  <c r="N40" i="1"/>
  <c r="N44" i="1"/>
  <c r="N34" i="1"/>
  <c r="N30" i="1"/>
  <c r="N22" i="1"/>
  <c r="N42" i="1"/>
  <c r="N19" i="1"/>
  <c r="N23" i="1"/>
  <c r="N27" i="1"/>
  <c r="N31" i="1"/>
  <c r="N35" i="1"/>
  <c r="N39" i="1"/>
  <c r="N43" i="1"/>
  <c r="N26" i="1"/>
  <c r="N46" i="1"/>
  <c r="N21" i="1"/>
  <c r="N25" i="1"/>
  <c r="N29" i="1"/>
  <c r="N33" i="1"/>
  <c r="N37" i="1"/>
  <c r="N41" i="1"/>
  <c r="N45" i="1"/>
  <c r="O18" i="1"/>
  <c r="I18" i="1"/>
  <c r="M18" i="1"/>
  <c r="H18" i="1"/>
  <c r="L18" i="1"/>
  <c r="K18" i="1"/>
  <c r="J18" i="1"/>
  <c r="H196" i="1"/>
  <c r="N196" i="1" l="1"/>
  <c r="N18" i="1"/>
</calcChain>
</file>

<file path=xl/comments1.xml><?xml version="1.0" encoding="utf-8"?>
<comments xmlns="http://schemas.openxmlformats.org/spreadsheetml/2006/main">
  <authors>
    <author>Hang Nguyen Thi Thu (HRD/CMVN)</author>
  </authors>
  <commentList>
    <comment ref="R117" authorId="0" shapeId="0">
      <text>
        <r>
          <rPr>
            <b/>
            <sz val="9"/>
            <color indexed="81"/>
            <rFont val="Tahoma"/>
            <family val="2"/>
          </rPr>
          <t>Hang Nguyen Thi Thu (HRD/CMVN):</t>
        </r>
        <r>
          <rPr>
            <sz val="9"/>
            <color indexed="81"/>
            <rFont val="Tahoma"/>
            <family val="2"/>
          </rPr>
          <t xml:space="preserve">
ngày tháng năm sinh của con</t>
        </r>
      </text>
    </comment>
    <comment ref="S117" authorId="0" shapeId="0">
      <text>
        <r>
          <rPr>
            <b/>
            <sz val="9"/>
            <color indexed="81"/>
            <rFont val="Tahoma"/>
            <family val="2"/>
          </rPr>
          <t>Hang Nguyen Thi Thu (HRD/CMVN):</t>
        </r>
        <r>
          <rPr>
            <sz val="9"/>
            <color indexed="81"/>
            <rFont val="Tahoma"/>
            <family val="2"/>
          </rPr>
          <t xml:space="preserve">
Mã thẻ BHYT của con</t>
        </r>
      </text>
    </comment>
    <comment ref="R161" authorId="0" shapeId="0">
      <text>
        <r>
          <rPr>
            <b/>
            <sz val="9"/>
            <color indexed="81"/>
            <rFont val="Tahoma"/>
            <family val="2"/>
          </rPr>
          <t>Hang Nguyen Thi Thu (HRD/CMVN):</t>
        </r>
        <r>
          <rPr>
            <sz val="9"/>
            <color indexed="81"/>
            <rFont val="Tahoma"/>
            <family val="2"/>
          </rPr>
          <t xml:space="preserve">
Tuổi thai</t>
        </r>
      </text>
    </comment>
    <comment ref="R191" authorId="0" shapeId="0">
      <text>
        <r>
          <rPr>
            <b/>
            <sz val="9"/>
            <color indexed="81"/>
            <rFont val="Tahoma"/>
            <family val="2"/>
          </rPr>
          <t>Hang Nguyen Thi Thu (HRD/CMVN):</t>
        </r>
        <r>
          <rPr>
            <sz val="9"/>
            <color indexed="81"/>
            <rFont val="Tahoma"/>
            <family val="2"/>
          </rPr>
          <t xml:space="preserve">
Ngày tháng năm sinh của con</t>
        </r>
      </text>
    </comment>
    <comment ref="R212" authorId="0" shapeId="0">
      <text>
        <r>
          <rPr>
            <b/>
            <sz val="9"/>
            <color indexed="81"/>
            <rFont val="Tahoma"/>
            <family val="2"/>
          </rPr>
          <t>Hang Nguyen Thi Thu (HRD/CMVN):</t>
        </r>
        <r>
          <rPr>
            <sz val="9"/>
            <color indexed="81"/>
            <rFont val="Tahoma"/>
            <family val="2"/>
          </rPr>
          <t xml:space="preserve">
Ngày tháng năm sinh của con</t>
        </r>
      </text>
    </comment>
    <comment ref="S216" authorId="0" shapeId="0">
      <text>
        <r>
          <rPr>
            <b/>
            <sz val="9"/>
            <color indexed="81"/>
            <rFont val="Tahoma"/>
            <family val="2"/>
          </rPr>
          <t>Hang Nguyen Thi Thu (HRD/CMVN):</t>
        </r>
        <r>
          <rPr>
            <sz val="9"/>
            <color indexed="81"/>
            <rFont val="Tahoma"/>
            <family val="2"/>
          </rPr>
          <t xml:space="preserve">
Tuổi thai</t>
        </r>
      </text>
    </comment>
    <comment ref="S228" authorId="0" shapeId="0">
      <text>
        <r>
          <rPr>
            <b/>
            <sz val="9"/>
            <color indexed="81"/>
            <rFont val="Tahoma"/>
            <family val="2"/>
          </rPr>
          <t>Hang Nguyen Thi Thu (HRD/CMVN):</t>
        </r>
        <r>
          <rPr>
            <sz val="9"/>
            <color indexed="81"/>
            <rFont val="Tahoma"/>
            <family val="2"/>
          </rPr>
          <t xml:space="preserve">
số sổ BHXH, CCCD của vợ</t>
        </r>
      </text>
    </comment>
    <comment ref="S245" authorId="0" shapeId="0">
      <text>
        <r>
          <rPr>
            <b/>
            <sz val="9"/>
            <color indexed="81"/>
            <rFont val="Tahoma"/>
            <family val="2"/>
          </rPr>
          <t>Hang Nguyen Thi Thu (HRD/CMVN):</t>
        </r>
        <r>
          <rPr>
            <sz val="9"/>
            <color indexed="81"/>
            <rFont val="Tahoma"/>
            <family val="2"/>
          </rPr>
          <t xml:space="preserve">
số sổ BHXH, CCCD của vợ</t>
        </r>
      </text>
    </comment>
    <comment ref="S252" authorId="0" shapeId="0">
      <text>
        <r>
          <rPr>
            <b/>
            <sz val="9"/>
            <color indexed="81"/>
            <rFont val="Tahoma"/>
            <family val="2"/>
          </rPr>
          <t>Hang Nguyen Thi Thu (HRD/CMVN):</t>
        </r>
        <r>
          <rPr>
            <sz val="9"/>
            <color indexed="81"/>
            <rFont val="Tahoma"/>
            <family val="2"/>
          </rPr>
          <t xml:space="preserve">
ngày trở lại làm việc</t>
        </r>
      </text>
    </comment>
  </commentList>
</comments>
</file>

<file path=xl/sharedStrings.xml><?xml version="1.0" encoding="utf-8"?>
<sst xmlns="http://schemas.openxmlformats.org/spreadsheetml/2006/main" count="624" uniqueCount="278">
  <si>
    <t>Tên cơ quan đơn vị: Công ty TNHH Crystal Martin (Việt Nam)</t>
  </si>
  <si>
    <t>Mã đơn vị: YN0050Z</t>
  </si>
  <si>
    <t>Số Điện thoại: 0204 381 81 88</t>
  </si>
  <si>
    <t>Số hồ sơ:</t>
  </si>
  <si>
    <t xml:space="preserve">DANH SÁCH ĐỀ NGHỊ GIẢI QUYẾT HƯỞNG CHẾ ĐỘ, ỐM ĐAU, THAI SẢN, </t>
  </si>
  <si>
    <t>DƯỠNG SỨC PHỤC HỒI SỨC KHỎE</t>
  </si>
  <si>
    <t>Số tài khoản: 0351000777749          Mở tại: Ngân hàng TMCP Ngoại thương Việt Nam       Chi nhánh: Bắc Ninh</t>
  </si>
  <si>
    <t>PHẦN 1: DANH SÁCH ĐỀ NGHỊ HƯỞNG CHẾ ĐỘ MỚI PHÁT SINH</t>
  </si>
  <si>
    <t>STT</t>
  </si>
  <si>
    <t>MNV</t>
  </si>
  <si>
    <t>Họ và tên</t>
  </si>
  <si>
    <t>Mã số BHXH</t>
  </si>
  <si>
    <t>Số ngày nghỉ được tính hưởng trợ cấp</t>
  </si>
  <si>
    <t>Mã hồ sơ</t>
  </si>
  <si>
    <t>Thông tin về tài khoản nhận trợ cấp</t>
  </si>
  <si>
    <t xml:space="preserve">Chỉ tiêu xác định điều kiện, mức hưởng  </t>
  </si>
  <si>
    <t>Ghi chú</t>
  </si>
  <si>
    <t>Từ ngày</t>
  </si>
  <si>
    <t>Đến ngày</t>
  </si>
  <si>
    <t>Tổng số</t>
  </si>
  <si>
    <r>
      <t>(</t>
    </r>
    <r>
      <rPr>
        <i/>
        <sz val="12"/>
        <rFont val="Times New Roman"/>
        <family val="1"/>
      </rPr>
      <t>Áp dụng cho giao dịch điện tử không kèm hồ sơ giấy</t>
    </r>
    <r>
      <rPr>
        <sz val="12"/>
        <rFont val="Times New Roman"/>
        <family val="1"/>
      </rPr>
      <t>)</t>
    </r>
  </si>
  <si>
    <t>Số seri</t>
  </si>
  <si>
    <t>A</t>
  </si>
  <si>
    <t>B</t>
  </si>
  <si>
    <t>C</t>
  </si>
  <si>
    <t>D</t>
  </si>
  <si>
    <t>E</t>
  </si>
  <si>
    <t>CHẾ ĐỘ ỐM ĐAU</t>
  </si>
  <si>
    <t xml:space="preserve"> </t>
  </si>
  <si>
    <t>I</t>
  </si>
  <si>
    <t>Ốm thường</t>
  </si>
  <si>
    <t>CN</t>
  </si>
  <si>
    <t>T2</t>
  </si>
  <si>
    <t>T3</t>
  </si>
  <si>
    <t>T4</t>
  </si>
  <si>
    <t>T5</t>
  </si>
  <si>
    <t>T6</t>
  </si>
  <si>
    <t>T7</t>
  </si>
  <si>
    <t>Tổng</t>
  </si>
  <si>
    <t>Nghỉ ốm</t>
  </si>
  <si>
    <t>GCN2</t>
  </si>
  <si>
    <t>24538/2025/00480</t>
  </si>
  <si>
    <t>240092519407</t>
  </si>
  <si>
    <t>27001.2500416</t>
  </si>
  <si>
    <t>8480</t>
  </si>
  <si>
    <t>0000125</t>
  </si>
  <si>
    <t>10923</t>
  </si>
  <si>
    <t xml:space="preserve"> 270102500538 </t>
  </si>
  <si>
    <t>1253</t>
  </si>
  <si>
    <t>6342</t>
  </si>
  <si>
    <t xml:space="preserve">242972503226 </t>
  </si>
  <si>
    <t>242392500244</t>
  </si>
  <si>
    <t>240242500521</t>
  </si>
  <si>
    <t>240092519676</t>
  </si>
  <si>
    <t>001855</t>
  </si>
  <si>
    <t>00032132</t>
  </si>
  <si>
    <t>24538/2025/00488</t>
  </si>
  <si>
    <t>00564</t>
  </si>
  <si>
    <t xml:space="preserve">242892506294 </t>
  </si>
  <si>
    <t>Giấy ra viện</t>
  </si>
  <si>
    <t>Giấy ra viện, phiếu mổ</t>
  </si>
  <si>
    <t>Giấy ra viện, Phiếu mổ</t>
  </si>
  <si>
    <t>Cộng</t>
  </si>
  <si>
    <t>II</t>
  </si>
  <si>
    <t>Ốm dài ngày</t>
  </si>
  <si>
    <t>25000587</t>
  </si>
  <si>
    <t>III</t>
  </si>
  <si>
    <t>Con ốm</t>
  </si>
  <si>
    <t>-</t>
  </si>
  <si>
    <t>Con dưới 03 tuổi</t>
  </si>
  <si>
    <t>Giấy ra viện, GKS</t>
  </si>
  <si>
    <t>Con từ đủ 03 tuổi đến 07 tuổi</t>
  </si>
  <si>
    <t>GCN2, GKS</t>
  </si>
  <si>
    <t>CHẾ ĐỘ THAI SẢN</t>
  </si>
  <si>
    <t>Khám thai</t>
  </si>
  <si>
    <t>001832</t>
  </si>
  <si>
    <t>242892506583</t>
  </si>
  <si>
    <t>2717400011178</t>
  </si>
  <si>
    <t>242892506532</t>
  </si>
  <si>
    <t>Sinh con</t>
  </si>
  <si>
    <t>Trường hợp thông thường</t>
  </si>
  <si>
    <t>+</t>
  </si>
  <si>
    <t>Sinh một con</t>
  </si>
  <si>
    <t>Giấy ra viện, GKS, CNPT</t>
  </si>
  <si>
    <t>Giấy chứng sinh, GKS</t>
  </si>
  <si>
    <t>IV</t>
  </si>
  <si>
    <t>Lao động nam, người chồng của lao động nữ mang thai hộ nghỉ việc khi vợ sinh con</t>
  </si>
  <si>
    <t>Trường hợp sinh thông thường</t>
  </si>
  <si>
    <t>Nam nghỉ việc khi vợ sinh</t>
  </si>
  <si>
    <t>Trường hợp sinh con phải phẫu thuật, sinh con dưới 32 tuần tuổi</t>
  </si>
  <si>
    <t>V</t>
  </si>
  <si>
    <t>Lao động nam, người chồng của người mẹ nhờ mang thai hộ hưởng trợ cấp một lần khi vợ sinh con, nhận con</t>
  </si>
  <si>
    <t>Nam hưởng trợ cấp 1 lần khi vợ sinh</t>
  </si>
  <si>
    <t>Bản cam kết, GKS, CCCD, BHYT</t>
  </si>
  <si>
    <t xml:space="preserve">NGHỈ DƯỠNG SỨC PHỤC HỒI SỨC KHỎE </t>
  </si>
  <si>
    <t>Thai sản</t>
  </si>
  <si>
    <t>Dưỡng sức sau sinh thường</t>
  </si>
  <si>
    <t>Dưỡng sức sau sinh khác</t>
  </si>
  <si>
    <t>Form nghỉ dưỡng sức</t>
  </si>
  <si>
    <t>*Giải trình trong trường hợp nộp hồ sơ chậm:</t>
  </si>
  <si>
    <t>Bắc Giang, ngày 25 tháng 10 năm 2025</t>
  </si>
  <si>
    <t>KT/ Thủ trưởng đơn vị</t>
  </si>
  <si>
    <t>(Ký ghi rõ họ tên và đóng dấu hoặc ký số)</t>
  </si>
  <si>
    <t>NGUYỄN THỊ THOA</t>
  </si>
  <si>
    <t>Công nhân kiểm tra chất lượng</t>
  </si>
  <si>
    <t>Công nhân vận hành máy may công nghiệp</t>
  </si>
  <si>
    <t>Giám sát bộ phận May</t>
  </si>
  <si>
    <t>Công nhân cắt phá, cắt gọt</t>
  </si>
  <si>
    <t>Công nhân đóng gói</t>
  </si>
  <si>
    <t>Phó giám sát phòng Công nghệ may</t>
  </si>
  <si>
    <t>Sảy thai, phá thai, thai chết trong tử cung, thai chết trong khi chuyển dạ, thai ngoài tử cung</t>
  </si>
  <si>
    <t>Trường hợp thai từ 05 tuần tuổi đến dưới 13 tuần tuổi</t>
  </si>
  <si>
    <t>Đợt IV tháng 12 năm 2025</t>
  </si>
  <si>
    <t>252275</t>
  </si>
  <si>
    <t>NGUYỄN THỊ DIỄM</t>
  </si>
  <si>
    <t>2420439352</t>
  </si>
  <si>
    <t>251756</t>
  </si>
  <si>
    <t>NGUYỄN THỊ CẢNH</t>
  </si>
  <si>
    <t>2721392445</t>
  </si>
  <si>
    <t>200595</t>
  </si>
  <si>
    <t>NGUYỄN THỊ NGUYỆT</t>
  </si>
  <si>
    <t>2412026652</t>
  </si>
  <si>
    <t>TRẦN THỊ THU HÀ</t>
  </si>
  <si>
    <t>234225</t>
  </si>
  <si>
    <t>NGUYỄN THU PHƯƠNG</t>
  </si>
  <si>
    <t>2413006264</t>
  </si>
  <si>
    <t>NGUYỄN THỊ HẰNG</t>
  </si>
  <si>
    <t>239266</t>
  </si>
  <si>
    <t>VI THỊ TÂM</t>
  </si>
  <si>
    <t>2413025970</t>
  </si>
  <si>
    <t>244395</t>
  </si>
  <si>
    <t>HOÀNG THỊ NHỊ</t>
  </si>
  <si>
    <t>2420997061</t>
  </si>
  <si>
    <t>250252</t>
  </si>
  <si>
    <t>THÂN THỊ KIM NGÂN</t>
  </si>
  <si>
    <t>2420525551</t>
  </si>
  <si>
    <t>242057</t>
  </si>
  <si>
    <t>NGUYỄN VĂN BÌNH</t>
  </si>
  <si>
    <t>2413011056</t>
  </si>
  <si>
    <t>245948</t>
  </si>
  <si>
    <t>NGUYỄN THỊ HÀ GIANG</t>
  </si>
  <si>
    <t>2421307055</t>
  </si>
  <si>
    <t>254325</t>
  </si>
  <si>
    <t>TRẦN THỊ HUYỀN</t>
  </si>
  <si>
    <t>2411033212</t>
  </si>
  <si>
    <t>212606</t>
  </si>
  <si>
    <t>NGUYỄN THỊ HUYỀN</t>
  </si>
  <si>
    <t>2416033307</t>
  </si>
  <si>
    <t>252187</t>
  </si>
  <si>
    <t>NINH ĐỨC MẠNH</t>
  </si>
  <si>
    <t>2422334268</t>
  </si>
  <si>
    <t>233920</t>
  </si>
  <si>
    <t>2720388656</t>
  </si>
  <si>
    <t>210260</t>
  </si>
  <si>
    <t>NGUYỄN VĂN LỆNH</t>
  </si>
  <si>
    <t>2414013754</t>
  </si>
  <si>
    <t>238835</t>
  </si>
  <si>
    <t>ĐẶNG THỊ CHANG</t>
  </si>
  <si>
    <t>2421854590</t>
  </si>
  <si>
    <t>253087</t>
  </si>
  <si>
    <t>NGUYỄN SỸ TỚI</t>
  </si>
  <si>
    <t>2421555315</t>
  </si>
  <si>
    <t>254152</t>
  </si>
  <si>
    <t>VI VĂN THANH</t>
  </si>
  <si>
    <t>2420535263</t>
  </si>
  <si>
    <t>253764</t>
  </si>
  <si>
    <t>2409000788</t>
  </si>
  <si>
    <t>211467</t>
  </si>
  <si>
    <t>CAO THỊ THU HƯỜNG</t>
  </si>
  <si>
    <t>2708026992</t>
  </si>
  <si>
    <t>240413</t>
  </si>
  <si>
    <t>2422530076</t>
  </si>
  <si>
    <t>252404</t>
  </si>
  <si>
    <t>PHẠM THỊ DUNG</t>
  </si>
  <si>
    <t>2713010692</t>
  </si>
  <si>
    <t>216026</t>
  </si>
  <si>
    <t>NGUYỄN VĂN THỨC</t>
  </si>
  <si>
    <t>2421700977</t>
  </si>
  <si>
    <t>250982</t>
  </si>
  <si>
    <t>HOÀNG THỊ THÚY</t>
  </si>
  <si>
    <t>2421308784</t>
  </si>
  <si>
    <t>201082</t>
  </si>
  <si>
    <t>NGUYỄN THỊ ƯNG</t>
  </si>
  <si>
    <t>2413000785</t>
  </si>
  <si>
    <t>250980</t>
  </si>
  <si>
    <t>PHẠM THỊ NHUNG</t>
  </si>
  <si>
    <t>2414011209</t>
  </si>
  <si>
    <t>200035</t>
  </si>
  <si>
    <t>NGUYỄN THỊ TÂM</t>
  </si>
  <si>
    <t>2412016861</t>
  </si>
  <si>
    <t>254486</t>
  </si>
  <si>
    <t>BÀN THỊ HẠNH</t>
  </si>
  <si>
    <t>2020147323</t>
  </si>
  <si>
    <t>238273</t>
  </si>
  <si>
    <t>NGUYỄN THỊ HUỆ</t>
  </si>
  <si>
    <t>2414024272</t>
  </si>
  <si>
    <t>254778</t>
  </si>
  <si>
    <t>HOÀNG THỊ THẢO</t>
  </si>
  <si>
    <t>2020530766</t>
  </si>
  <si>
    <t>248956</t>
  </si>
  <si>
    <t>SÙNG THỊ MÙA</t>
  </si>
  <si>
    <t>1220135338</t>
  </si>
  <si>
    <t>201729</t>
  </si>
  <si>
    <t>DƯƠNG THỊ THOAN</t>
  </si>
  <si>
    <t>8405003615</t>
  </si>
  <si>
    <t>238084</t>
  </si>
  <si>
    <t>TRẦN THỊ NHUNG</t>
  </si>
  <si>
    <t>2416083963</t>
  </si>
  <si>
    <t>232430</t>
  </si>
  <si>
    <t>NGUYỄN THỊ THU</t>
  </si>
  <si>
    <t>2420412380</t>
  </si>
  <si>
    <t>254175</t>
  </si>
  <si>
    <t>HOÀNG THỊ XANH</t>
  </si>
  <si>
    <t>2020506912</t>
  </si>
  <si>
    <t>255260</t>
  </si>
  <si>
    <t>ĐOÀN THỊ UYÊN</t>
  </si>
  <si>
    <t>0420372336</t>
  </si>
  <si>
    <t>218556</t>
  </si>
  <si>
    <t>NGUYỄN THỊ TRANG</t>
  </si>
  <si>
    <t>2709016265</t>
  </si>
  <si>
    <t>242611</t>
  </si>
  <si>
    <t>LƯU THỊ NGỌC</t>
  </si>
  <si>
    <t>2715012363</t>
  </si>
  <si>
    <t>246281</t>
  </si>
  <si>
    <t>ĐOÀN THỊ THÁI</t>
  </si>
  <si>
    <t>8507001366</t>
  </si>
  <si>
    <t>229184</t>
  </si>
  <si>
    <t>THÂN THỊ QUỲNH</t>
  </si>
  <si>
    <t>8403002038</t>
  </si>
  <si>
    <t>216294</t>
  </si>
  <si>
    <t>TRẦN THỊ XUÂN</t>
  </si>
  <si>
    <t>2416051469</t>
  </si>
  <si>
    <t>235674</t>
  </si>
  <si>
    <t>NGUYỄN THỊ LIÊN</t>
  </si>
  <si>
    <t>2416093903</t>
  </si>
  <si>
    <t>246019</t>
  </si>
  <si>
    <t>TRẦN THỊ YẾN</t>
  </si>
  <si>
    <t>2416092609</t>
  </si>
  <si>
    <t>242689</t>
  </si>
  <si>
    <t>NGUYỄN THỊ TIỀN</t>
  </si>
  <si>
    <t>2420393645</t>
  </si>
  <si>
    <t>249835</t>
  </si>
  <si>
    <t>LỘC THỊ KIM NGÂN</t>
  </si>
  <si>
    <t>2020655104</t>
  </si>
  <si>
    <t>255198</t>
  </si>
  <si>
    <t>VŨ THỊ KHÁNH</t>
  </si>
  <si>
    <t>2421005028</t>
  </si>
  <si>
    <t>251752</t>
  </si>
  <si>
    <t>CHU THỊ TRANG</t>
  </si>
  <si>
    <t>2421268400</t>
  </si>
  <si>
    <t>220218</t>
  </si>
  <si>
    <t>HÀ THỊ KIM OANH</t>
  </si>
  <si>
    <t>2421470027</t>
  </si>
  <si>
    <t>233245</t>
  </si>
  <si>
    <t>2713042459</t>
  </si>
  <si>
    <t>226731</t>
  </si>
  <si>
    <t>TRẦN THỊ NGỌC</t>
  </si>
  <si>
    <t>2421115903</t>
  </si>
  <si>
    <t>242723</t>
  </si>
  <si>
    <t>LÊ THỊ HÀ</t>
  </si>
  <si>
    <t>1916809368</t>
  </si>
  <si>
    <t>231539</t>
  </si>
  <si>
    <t>NGUYỄN NGỌC TRƯỜNG</t>
  </si>
  <si>
    <t>2422204350</t>
  </si>
  <si>
    <t>244578</t>
  </si>
  <si>
    <t>NGUYỄN THÀNH ĐẠT</t>
  </si>
  <si>
    <t>2421590599</t>
  </si>
  <si>
    <t>248192</t>
  </si>
  <si>
    <t>LƯƠNG QUYỀN ANH</t>
  </si>
  <si>
    <t>0420053075</t>
  </si>
  <si>
    <t>238076</t>
  </si>
  <si>
    <t>2414035758</t>
  </si>
  <si>
    <t>237945</t>
  </si>
  <si>
    <t>TRƯƠNG THỊ THÚY</t>
  </si>
  <si>
    <t>2411026725</t>
  </si>
  <si>
    <t>239659</t>
  </si>
  <si>
    <t>NGUYỄN THỊ TRÀ MY</t>
  </si>
  <si>
    <t>2020462541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</si>
</sst>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Times New Roman"/>
      <family val="1"/>
    </font>
    <font>
      <sz val="12"/>
      <name val="Times New Roman"/>
      <family val="1"/>
    </font>
    <font>
      <sz val="11"/>
      <name val="Calibri"/>
      <family val="2"/>
      <scheme val="minor"/>
    </font>
    <font>
      <b/>
      <sz val="16"/>
      <name val="Times New Roman"/>
      <family val="1"/>
    </font>
    <font>
      <i/>
      <sz val="12"/>
      <name val="Times New Roman"/>
      <family val="1"/>
    </font>
    <font>
      <b/>
      <i/>
      <sz val="12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auto="1"/>
      </right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5">
    <xf numFmtId="0" fontId="0" fillId="0" borderId="0" xfId="0"/>
    <xf numFmtId="0" fontId="3" fillId="0" borderId="0" xfId="0" applyFont="1" applyFill="1" applyAlignment="1">
      <alignment vertical="top"/>
    </xf>
    <xf numFmtId="49" fontId="3" fillId="0" borderId="0" xfId="0" applyNumberFormat="1" applyFont="1" applyFill="1" applyAlignment="1">
      <alignment vertical="center" wrapText="1"/>
    </xf>
    <xf numFmtId="0" fontId="3" fillId="0" borderId="0" xfId="0" applyFont="1" applyFill="1" applyAlignment="1">
      <alignment vertical="center" wrapText="1"/>
    </xf>
    <xf numFmtId="0" fontId="3" fillId="0" borderId="0" xfId="0" applyFont="1" applyFill="1" applyAlignment="1">
      <alignment horizontal="center" vertical="center" wrapText="1"/>
    </xf>
    <xf numFmtId="0" fontId="3" fillId="0" borderId="0" xfId="0" applyFont="1" applyFill="1" applyAlignment="1">
      <alignment horizontal="left" vertical="center" wrapText="1"/>
    </xf>
    <xf numFmtId="0" fontId="4" fillId="0" borderId="0" xfId="0" applyFont="1" applyFill="1" applyAlignment="1">
      <alignment vertical="center" wrapText="1"/>
    </xf>
    <xf numFmtId="49" fontId="3" fillId="0" borderId="0" xfId="0" applyNumberFormat="1" applyFont="1" applyFill="1" applyAlignment="1">
      <alignment horizontal="left" vertical="center" wrapText="1"/>
    </xf>
    <xf numFmtId="49" fontId="4" fillId="0" borderId="0" xfId="0" applyNumberFormat="1" applyFont="1" applyFill="1" applyAlignment="1">
      <alignment vertical="center"/>
    </xf>
    <xf numFmtId="0" fontId="4" fillId="0" borderId="0" xfId="0" applyFont="1" applyFill="1" applyAlignment="1">
      <alignment vertical="center"/>
    </xf>
    <xf numFmtId="0" fontId="3" fillId="0" borderId="0" xfId="0" applyFont="1" applyFill="1" applyAlignment="1">
      <alignment horizontal="left" vertical="top"/>
    </xf>
    <xf numFmtId="49" fontId="5" fillId="0" borderId="0" xfId="0" applyNumberFormat="1" applyFont="1" applyFill="1" applyAlignment="1">
      <alignment vertical="center" wrapText="1"/>
    </xf>
    <xf numFmtId="0" fontId="5" fillId="0" borderId="0" xfId="0" applyFont="1" applyFill="1" applyAlignment="1">
      <alignment vertical="center" wrapText="1"/>
    </xf>
    <xf numFmtId="0" fontId="5" fillId="0" borderId="0" xfId="0" applyFont="1" applyFill="1" applyAlignment="1">
      <alignment horizontal="center" vertical="center" wrapText="1"/>
    </xf>
    <xf numFmtId="0" fontId="3" fillId="0" borderId="0" xfId="0" applyFont="1" applyFill="1" applyAlignment="1">
      <alignment horizontal="center" vertical="center"/>
    </xf>
    <xf numFmtId="49" fontId="3" fillId="0" borderId="0" xfId="0" applyNumberFormat="1" applyFont="1" applyFill="1" applyAlignment="1">
      <alignment horizontal="center" vertical="center"/>
    </xf>
    <xf numFmtId="0" fontId="4" fillId="0" borderId="0" xfId="0" applyFont="1" applyFill="1" applyAlignment="1">
      <alignment vertical="center" shrinkToFit="1"/>
    </xf>
    <xf numFmtId="0" fontId="4" fillId="0" borderId="0" xfId="0" applyFont="1" applyFill="1" applyAlignment="1">
      <alignment horizontal="center" vertical="center"/>
    </xf>
    <xf numFmtId="14" fontId="4" fillId="0" borderId="0" xfId="0" applyNumberFormat="1" applyFont="1" applyFill="1" applyAlignment="1">
      <alignment horizontal="center" vertical="center"/>
    </xf>
    <xf numFmtId="0" fontId="4" fillId="0" borderId="0" xfId="0" applyFont="1" applyFill="1" applyAlignment="1">
      <alignment horizontal="left" vertical="center"/>
    </xf>
    <xf numFmtId="0" fontId="4" fillId="0" borderId="0" xfId="0" applyFont="1" applyFill="1" applyAlignment="1">
      <alignment horizontal="center" vertical="center" wrapText="1"/>
    </xf>
    <xf numFmtId="49" fontId="4" fillId="0" borderId="0" xfId="0" applyNumberFormat="1" applyFont="1" applyFill="1" applyAlignment="1">
      <alignment vertical="center" wrapText="1"/>
    </xf>
    <xf numFmtId="49" fontId="4" fillId="0" borderId="0" xfId="0" applyNumberFormat="1" applyFont="1" applyFill="1" applyAlignment="1">
      <alignment horizontal="left" vertical="center" wrapText="1"/>
    </xf>
    <xf numFmtId="49" fontId="6" fillId="0" borderId="0" xfId="0" applyNumberFormat="1" applyFont="1" applyFill="1" applyAlignment="1">
      <alignment horizontal="left" vertical="center"/>
    </xf>
    <xf numFmtId="49" fontId="6" fillId="0" borderId="0" xfId="0" applyNumberFormat="1" applyFont="1" applyFill="1" applyAlignment="1">
      <alignment horizontal="center" vertical="center"/>
    </xf>
    <xf numFmtId="49" fontId="3" fillId="0" borderId="0" xfId="0" applyNumberFormat="1" applyFont="1" applyFill="1" applyAlignment="1">
      <alignment horizontal="left" vertical="center"/>
    </xf>
    <xf numFmtId="14" fontId="3" fillId="0" borderId="0" xfId="0" applyNumberFormat="1" applyFont="1" applyFill="1" applyAlignment="1">
      <alignment horizontal="center" vertical="center"/>
    </xf>
    <xf numFmtId="14" fontId="4" fillId="0" borderId="0" xfId="0" applyNumberFormat="1" applyFont="1" applyFill="1" applyAlignment="1">
      <alignment vertical="center" wrapText="1"/>
    </xf>
    <xf numFmtId="0" fontId="3" fillId="0" borderId="0" xfId="0" applyFont="1" applyFill="1" applyAlignment="1">
      <alignment vertical="center"/>
    </xf>
    <xf numFmtId="49" fontId="3" fillId="0" borderId="0" xfId="0" applyNumberFormat="1" applyFont="1" applyFill="1" applyAlignment="1">
      <alignment vertical="center"/>
    </xf>
    <xf numFmtId="164" fontId="4" fillId="0" borderId="0" xfId="1" applyNumberFormat="1" applyFont="1" applyFill="1" applyAlignment="1">
      <alignment vertical="center" wrapText="1"/>
    </xf>
    <xf numFmtId="49" fontId="3" fillId="0" borderId="0" xfId="0" applyNumberFormat="1" applyFont="1" applyFill="1" applyAlignment="1">
      <alignment horizontal="center" vertical="center" wrapText="1"/>
    </xf>
    <xf numFmtId="14" fontId="3" fillId="0" borderId="1" xfId="0" applyNumberFormat="1" applyFont="1" applyFill="1" applyBorder="1" applyAlignment="1">
      <alignment horizontal="center" vertical="center" wrapText="1"/>
    </xf>
    <xf numFmtId="14" fontId="3" fillId="0" borderId="6" xfId="0" applyNumberFormat="1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center" vertical="center" wrapText="1"/>
    </xf>
    <xf numFmtId="49" fontId="3" fillId="0" borderId="7" xfId="0" applyNumberFormat="1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center" vertical="center" shrinkToFit="1"/>
    </xf>
    <xf numFmtId="0" fontId="3" fillId="0" borderId="7" xfId="0" applyFont="1" applyFill="1" applyBorder="1" applyAlignment="1">
      <alignment vertical="center" shrinkToFit="1"/>
    </xf>
    <xf numFmtId="14" fontId="3" fillId="0" borderId="7" xfId="0" applyNumberFormat="1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left" vertical="center" wrapText="1"/>
    </xf>
    <xf numFmtId="0" fontId="3" fillId="0" borderId="7" xfId="0" applyFont="1" applyFill="1" applyBorder="1" applyAlignment="1">
      <alignment vertical="center" wrapText="1"/>
    </xf>
    <xf numFmtId="49" fontId="2" fillId="0" borderId="4" xfId="0" applyNumberFormat="1" applyFont="1" applyBorder="1" applyAlignment="1">
      <alignment horizontal="center" wrapText="1"/>
    </xf>
    <xf numFmtId="49" fontId="4" fillId="0" borderId="7" xfId="0" quotePrefix="1" applyNumberFormat="1" applyFont="1" applyFill="1" applyBorder="1" applyAlignment="1">
      <alignment horizontal="center" vertical="center"/>
    </xf>
    <xf numFmtId="0" fontId="4" fillId="0" borderId="7" xfId="0" applyFont="1" applyFill="1" applyBorder="1" applyAlignment="1">
      <alignment vertical="center" shrinkToFit="1"/>
    </xf>
    <xf numFmtId="14" fontId="4" fillId="0" borderId="7" xfId="0" applyNumberFormat="1" applyFont="1" applyFill="1" applyBorder="1" applyAlignment="1">
      <alignment horizontal="center" vertical="center" wrapText="1"/>
    </xf>
    <xf numFmtId="49" fontId="2" fillId="0" borderId="7" xfId="0" applyNumberFormat="1" applyFont="1" applyBorder="1" applyAlignment="1">
      <alignment horizontal="center" wrapText="1"/>
    </xf>
    <xf numFmtId="0" fontId="4" fillId="0" borderId="7" xfId="0" applyNumberFormat="1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left" vertical="center" wrapText="1"/>
    </xf>
    <xf numFmtId="0" fontId="4" fillId="0" borderId="7" xfId="0" applyFont="1" applyFill="1" applyBorder="1" applyAlignment="1">
      <alignment vertical="center" wrapText="1"/>
    </xf>
    <xf numFmtId="0" fontId="4" fillId="0" borderId="0" xfId="0" applyFont="1" applyFill="1" applyBorder="1" applyAlignment="1">
      <alignment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3" fillId="0" borderId="7" xfId="0" applyNumberFormat="1" applyFont="1" applyFill="1" applyBorder="1" applyAlignment="1">
      <alignment horizontal="center" vertical="center" wrapText="1"/>
    </xf>
    <xf numFmtId="0" fontId="3" fillId="0" borderId="8" xfId="0" applyFont="1" applyFill="1" applyBorder="1" applyAlignment="1">
      <alignment horizontal="center" vertical="center" wrapText="1"/>
    </xf>
    <xf numFmtId="0" fontId="3" fillId="0" borderId="8" xfId="0" applyFont="1" applyFill="1" applyBorder="1" applyAlignment="1">
      <alignment vertical="center" wrapText="1"/>
    </xf>
    <xf numFmtId="0" fontId="3" fillId="0" borderId="7" xfId="0" quotePrefix="1" applyFont="1" applyFill="1" applyBorder="1" applyAlignment="1">
      <alignment horizontal="center" vertical="center" wrapText="1"/>
    </xf>
    <xf numFmtId="0" fontId="7" fillId="0" borderId="7" xfId="0" applyFont="1" applyFill="1" applyBorder="1" applyAlignment="1">
      <alignment vertical="center" shrinkToFit="1"/>
    </xf>
    <xf numFmtId="14" fontId="3" fillId="0" borderId="7" xfId="0" applyNumberFormat="1" applyFont="1" applyFill="1" applyBorder="1" applyAlignment="1">
      <alignment horizontal="left" vertical="center" wrapText="1"/>
    </xf>
    <xf numFmtId="14" fontId="4" fillId="0" borderId="7" xfId="0" applyNumberFormat="1" applyFont="1" applyFill="1" applyBorder="1" applyAlignment="1">
      <alignment horizontal="left" vertical="center" wrapText="1"/>
    </xf>
    <xf numFmtId="49" fontId="4" fillId="0" borderId="7" xfId="0" quotePrefix="1" applyNumberFormat="1" applyFont="1" applyFill="1" applyBorder="1" applyAlignment="1">
      <alignment vertical="center" wrapText="1"/>
    </xf>
    <xf numFmtId="14" fontId="4" fillId="0" borderId="7" xfId="0" applyNumberFormat="1" applyFont="1" applyFill="1" applyBorder="1" applyAlignment="1">
      <alignment vertical="center" wrapText="1"/>
    </xf>
    <xf numFmtId="0" fontId="4" fillId="0" borderId="0" xfId="0" applyFont="1" applyFill="1" applyAlignment="1">
      <alignment horizontal="left"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3" xfId="0" applyFont="1" applyFill="1" applyBorder="1" applyAlignment="1">
      <alignment vertical="center" wrapText="1"/>
    </xf>
    <xf numFmtId="0" fontId="3" fillId="0" borderId="3" xfId="0" applyFont="1" applyFill="1" applyBorder="1" applyAlignment="1">
      <alignment horizontal="left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vertical="center" wrapText="1"/>
    </xf>
    <xf numFmtId="49" fontId="4" fillId="0" borderId="0" xfId="0" applyNumberFormat="1" applyFont="1" applyFill="1" applyAlignment="1">
      <alignment horizontal="center" vertical="center"/>
    </xf>
    <xf numFmtId="0" fontId="3" fillId="0" borderId="2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left" vertical="center" wrapText="1"/>
    </xf>
    <xf numFmtId="0" fontId="7" fillId="0" borderId="7" xfId="0" applyFont="1" applyFill="1" applyBorder="1" applyAlignment="1">
      <alignment horizontal="center" vertical="center" wrapText="1"/>
    </xf>
    <xf numFmtId="49" fontId="7" fillId="0" borderId="7" xfId="0" applyNumberFormat="1" applyFont="1" applyFill="1" applyBorder="1" applyAlignment="1">
      <alignment horizontal="center" vertical="center" wrapText="1"/>
    </xf>
    <xf numFmtId="49" fontId="4" fillId="0" borderId="7" xfId="0" applyNumberFormat="1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vertical="center" shrinkToFit="1"/>
    </xf>
    <xf numFmtId="49" fontId="4" fillId="0" borderId="0" xfId="0" applyNumberFormat="1" applyFont="1" applyFill="1" applyAlignment="1">
      <alignment horizontal="center" vertical="center" wrapText="1"/>
    </xf>
    <xf numFmtId="14" fontId="4" fillId="0" borderId="0" xfId="0" applyNumberFormat="1" applyFont="1" applyFill="1" applyAlignment="1">
      <alignment vertical="center"/>
    </xf>
    <xf numFmtId="0" fontId="4" fillId="0" borderId="7" xfId="0" applyNumberFormat="1" applyFont="1" applyFill="1" applyBorder="1" applyAlignment="1">
      <alignment horizontal="left" vertical="center" wrapText="1"/>
    </xf>
    <xf numFmtId="49" fontId="3" fillId="0" borderId="0" xfId="0" applyNumberFormat="1" applyFont="1" applyFill="1" applyBorder="1" applyAlignment="1">
      <alignment vertical="center" wrapText="1"/>
    </xf>
    <xf numFmtId="0" fontId="4" fillId="0" borderId="0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vertical="center"/>
    </xf>
    <xf numFmtId="0" fontId="4" fillId="0" borderId="7" xfId="0" applyFont="1" applyFill="1" applyBorder="1" applyAlignment="1">
      <alignment horizontal="center" vertical="center" shrinkToFit="1"/>
    </xf>
    <xf numFmtId="0" fontId="4" fillId="0" borderId="7" xfId="0" quotePrefix="1" applyNumberFormat="1" applyFont="1" applyFill="1" applyBorder="1" applyAlignment="1">
      <alignment vertical="center" wrapText="1"/>
    </xf>
    <xf numFmtId="49" fontId="4" fillId="0" borderId="0" xfId="0" quotePrefix="1" applyNumberFormat="1" applyFont="1" applyFill="1" applyAlignment="1">
      <alignment vertical="center"/>
    </xf>
    <xf numFmtId="0" fontId="4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vertical="center"/>
    </xf>
    <xf numFmtId="0" fontId="4" fillId="0" borderId="4" xfId="0" applyFont="1" applyFill="1" applyBorder="1" applyAlignment="1">
      <alignment vertical="center"/>
    </xf>
    <xf numFmtId="49" fontId="4" fillId="0" borderId="0" xfId="0" applyNumberFormat="1" applyFont="1" applyFill="1" applyBorder="1" applyAlignment="1">
      <alignment vertical="center"/>
    </xf>
    <xf numFmtId="0" fontId="8" fillId="0" borderId="2" xfId="0" applyFont="1" applyFill="1" applyBorder="1" applyAlignment="1">
      <alignment vertical="center" shrinkToFit="1"/>
    </xf>
    <xf numFmtId="0" fontId="8" fillId="0" borderId="3" xfId="0" applyFont="1" applyFill="1" applyBorder="1" applyAlignment="1">
      <alignment vertical="center" shrinkToFit="1"/>
    </xf>
    <xf numFmtId="0" fontId="8" fillId="0" borderId="4" xfId="0" applyFont="1" applyFill="1" applyBorder="1" applyAlignment="1">
      <alignment vertical="center" shrinkToFit="1"/>
    </xf>
    <xf numFmtId="0" fontId="8" fillId="0" borderId="7" xfId="0" applyFont="1" applyFill="1" applyBorder="1" applyAlignment="1">
      <alignment vertical="center" wrapText="1"/>
    </xf>
    <xf numFmtId="0" fontId="4" fillId="0" borderId="7" xfId="0" applyFont="1" applyFill="1" applyBorder="1" applyAlignment="1">
      <alignment vertical="center"/>
    </xf>
    <xf numFmtId="14" fontId="3" fillId="0" borderId="7" xfId="0" applyNumberFormat="1" applyFont="1" applyFill="1" applyBorder="1" applyAlignment="1">
      <alignment horizontal="center" vertical="center"/>
    </xf>
    <xf numFmtId="49" fontId="4" fillId="0" borderId="0" xfId="0" applyNumberFormat="1" applyFont="1" applyFill="1" applyBorder="1" applyAlignment="1">
      <alignment vertical="center" wrapText="1"/>
    </xf>
    <xf numFmtId="0" fontId="3" fillId="0" borderId="7" xfId="0" applyFont="1" applyFill="1" applyBorder="1" applyAlignment="1">
      <alignment horizontal="center" vertical="center" wrapText="1"/>
    </xf>
    <xf numFmtId="0" fontId="4" fillId="0" borderId="0" xfId="0" applyFont="1" applyFill="1" applyAlignment="1">
      <alignment horizontal="left" vertical="center" shrinkToFit="1"/>
    </xf>
    <xf numFmtId="49" fontId="4" fillId="0" borderId="0" xfId="0" applyNumberFormat="1" applyFont="1" applyFill="1" applyAlignment="1">
      <alignment horizontal="left" vertical="center" shrinkToFit="1"/>
    </xf>
    <xf numFmtId="14" fontId="3" fillId="0" borderId="0" xfId="0" applyNumberFormat="1" applyFont="1" applyFill="1" applyAlignment="1">
      <alignment horizontal="center" vertical="center" wrapText="1"/>
    </xf>
    <xf numFmtId="49" fontId="7" fillId="0" borderId="0" xfId="0" applyNumberFormat="1" applyFont="1" applyFill="1" applyAlignment="1">
      <alignment horizontal="center" vertical="center" wrapText="1"/>
    </xf>
    <xf numFmtId="49" fontId="7" fillId="0" borderId="0" xfId="0" applyNumberFormat="1" applyFont="1" applyFill="1" applyAlignment="1">
      <alignment horizontal="left" vertical="center" wrapText="1"/>
    </xf>
    <xf numFmtId="0" fontId="4" fillId="0" borderId="0" xfId="0" applyNumberFormat="1" applyFont="1" applyFill="1" applyAlignment="1">
      <alignment horizontal="center" vertical="center"/>
    </xf>
    <xf numFmtId="0" fontId="7" fillId="0" borderId="0" xfId="0" applyFont="1" applyFill="1" applyAlignment="1">
      <alignment horizontal="center" vertical="center" wrapText="1"/>
    </xf>
    <xf numFmtId="0" fontId="7" fillId="0" borderId="0" xfId="0" applyFont="1" applyFill="1" applyAlignment="1">
      <alignment horizontal="left" vertical="center" wrapText="1"/>
    </xf>
    <xf numFmtId="0" fontId="4" fillId="0" borderId="0" xfId="0" applyNumberFormat="1" applyFont="1" applyFill="1" applyAlignment="1">
      <alignment horizontal="left" vertical="center"/>
    </xf>
    <xf numFmtId="49" fontId="8" fillId="0" borderId="0" xfId="0" applyNumberFormat="1" applyFont="1" applyFill="1" applyAlignment="1">
      <alignment horizontal="center" vertical="center"/>
    </xf>
    <xf numFmtId="0" fontId="4" fillId="2" borderId="7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vertical="center"/>
    </xf>
    <xf numFmtId="49" fontId="4" fillId="0" borderId="9" xfId="0" applyNumberFormat="1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4" fillId="0" borderId="9" xfId="0" applyFont="1" applyBorder="1" applyAlignment="1">
      <alignment horizontal="center" vertical="center"/>
    </xf>
    <xf numFmtId="14" fontId="4" fillId="0" borderId="9" xfId="0" applyNumberFormat="1" applyFont="1" applyBorder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center" vertical="center" wrapText="1"/>
    </xf>
    <xf numFmtId="49" fontId="3" fillId="0" borderId="5" xfId="0" applyNumberFormat="1" applyFont="1" applyFill="1" applyBorder="1" applyAlignment="1">
      <alignment horizontal="center" vertical="center" wrapText="1"/>
    </xf>
    <xf numFmtId="49" fontId="3" fillId="0" borderId="6" xfId="0" applyNumberFormat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shrinkToFit="1"/>
    </xf>
    <xf numFmtId="0" fontId="3" fillId="0" borderId="5" xfId="0" applyFont="1" applyFill="1" applyBorder="1" applyAlignment="1">
      <alignment horizontal="center" vertical="center" shrinkToFit="1"/>
    </xf>
    <xf numFmtId="0" fontId="3" fillId="0" borderId="6" xfId="0" applyFont="1" applyFill="1" applyBorder="1" applyAlignment="1">
      <alignment horizontal="center" vertical="center" shrinkToFi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14" fontId="3" fillId="0" borderId="1" xfId="0" applyNumberFormat="1" applyFont="1" applyFill="1" applyBorder="1" applyAlignment="1">
      <alignment horizontal="center" vertical="center" wrapText="1"/>
    </xf>
    <xf numFmtId="14" fontId="3" fillId="0" borderId="6" xfId="0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3" xfId="0" applyFont="1" applyFill="1" applyBorder="1" applyAlignment="1">
      <alignment horizontal="left" vertical="center" wrapText="1"/>
    </xf>
    <xf numFmtId="0" fontId="3" fillId="0" borderId="4" xfId="0" applyFont="1" applyFill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shrinkToFit="1"/>
    </xf>
    <xf numFmtId="0" fontId="3" fillId="0" borderId="3" xfId="0" applyFont="1" applyBorder="1" applyAlignment="1">
      <alignment horizontal="left" vertical="center" shrinkToFit="1"/>
    </xf>
    <xf numFmtId="0" fontId="3" fillId="0" borderId="4" xfId="0" applyFont="1" applyBorder="1" applyAlignment="1">
      <alignment horizontal="left" vertical="center" shrinkToFit="1"/>
    </xf>
    <xf numFmtId="0" fontId="7" fillId="0" borderId="2" xfId="0" applyFont="1" applyFill="1" applyBorder="1" applyAlignment="1">
      <alignment horizontal="left" vertical="center" wrapText="1"/>
    </xf>
    <xf numFmtId="0" fontId="7" fillId="0" borderId="3" xfId="0" applyFont="1" applyFill="1" applyBorder="1" applyAlignment="1">
      <alignment horizontal="left" vertical="center" wrapText="1"/>
    </xf>
    <xf numFmtId="0" fontId="7" fillId="0" borderId="0" xfId="0" applyFont="1" applyFill="1" applyAlignment="1">
      <alignment horizontal="center" vertical="center" wrapText="1"/>
    </xf>
    <xf numFmtId="0" fontId="8" fillId="0" borderId="0" xfId="0" applyFont="1" applyFill="1" applyAlignment="1">
      <alignment horizontal="center" vertical="center"/>
    </xf>
    <xf numFmtId="0" fontId="3" fillId="0" borderId="7" xfId="0" applyFont="1" applyFill="1" applyBorder="1" applyAlignment="1">
      <alignment horizontal="center" vertical="center" wrapText="1"/>
    </xf>
    <xf numFmtId="0" fontId="4" fillId="0" borderId="0" xfId="0" applyFont="1" applyFill="1" applyAlignment="1">
      <alignment vertical="center" wrapText="1"/>
    </xf>
    <xf numFmtId="0" fontId="3" fillId="0" borderId="0" xfId="0" applyFont="1" applyFill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3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28109</xdr:colOff>
      <xdr:row>0</xdr:row>
      <xdr:rowOff>60932</xdr:rowOff>
    </xdr:from>
    <xdr:to>
      <xdr:col>18</xdr:col>
      <xdr:colOff>1352084</xdr:colOff>
      <xdr:row>2</xdr:row>
      <xdr:rowOff>32754</xdr:rowOff>
    </xdr:to>
    <xdr:sp macro="" textlink="">
      <xdr:nvSpPr>
        <xdr:cNvPr id="2" name="Text Box 24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>
          <a:spLocks noChangeArrowheads="1"/>
        </xdr:cNvSpPr>
      </xdr:nvSpPr>
      <xdr:spPr bwMode="auto">
        <a:xfrm>
          <a:off x="15106184" y="60932"/>
          <a:ext cx="1323975" cy="381397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GB" sz="14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Mẫu 01B-HSB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B0F0"/>
    <pageSetUpPr fitToPage="1"/>
  </sheetPr>
  <dimension ref="A1:AH282"/>
  <sheetViews>
    <sheetView tabSelected="1" zoomScaleNormal="100" workbookViewId="0">
      <pane xSplit="4" ySplit="14" topLeftCell="E15" activePane="bottomRight" state="frozen"/>
      <selection pane="topRight" activeCell="E1" sqref="E1"/>
      <selection pane="bottomLeft" activeCell="A15" sqref="A15"/>
      <selection pane="bottomRight" activeCell="F63" sqref="F63"/>
    </sheetView>
  </sheetViews>
  <sheetFormatPr defaultRowHeight="15.75" x14ac:dyDescent="0.25"/>
  <cols>
    <col min="1" max="1" width="6.140625" style="9" customWidth="1"/>
    <col min="2" max="2" width="7.85546875" style="8" customWidth="1"/>
    <col min="3" max="3" width="33.85546875" style="16" bestFit="1" customWidth="1"/>
    <col min="4" max="4" width="15.28515625" style="17" customWidth="1"/>
    <col min="5" max="6" width="16.5703125" style="18" customWidth="1"/>
    <col min="7" max="14" width="10" style="18" customWidth="1"/>
    <col min="15" max="15" width="8.28515625" style="17" customWidth="1"/>
    <col min="16" max="16" width="18.140625" style="17" customWidth="1"/>
    <col min="17" max="17" width="23.42578125" style="19" customWidth="1"/>
    <col min="18" max="18" width="28.85546875" style="20" customWidth="1"/>
    <col min="19" max="19" width="33.85546875" style="6" customWidth="1"/>
    <col min="20" max="20" width="18.42578125" style="21" customWidth="1"/>
    <col min="21" max="21" width="17.42578125" style="22" customWidth="1"/>
    <col min="22" max="22" width="15.5703125" style="8" customWidth="1"/>
    <col min="23" max="23" width="14.85546875" style="9" bestFit="1" customWidth="1"/>
    <col min="24" max="24" width="11.28515625" style="9" bestFit="1" customWidth="1"/>
    <col min="25" max="16384" width="9.140625" style="9"/>
  </cols>
  <sheetData>
    <row r="1" spans="1:22" ht="16.5" customHeight="1" x14ac:dyDescent="0.25">
      <c r="A1" s="1" t="s">
        <v>0</v>
      </c>
      <c r="B1" s="2"/>
      <c r="C1" s="3"/>
      <c r="D1" s="4"/>
      <c r="E1" s="3"/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5"/>
      <c r="R1" s="4"/>
      <c r="T1" s="2"/>
      <c r="U1" s="7"/>
    </row>
    <row r="2" spans="1:22" ht="15.75" customHeight="1" x14ac:dyDescent="0.25">
      <c r="A2" s="10" t="s">
        <v>1</v>
      </c>
      <c r="B2" s="11"/>
      <c r="C2" s="12"/>
      <c r="D2" s="13"/>
      <c r="E2" s="12"/>
      <c r="F2" s="6"/>
      <c r="G2" s="6"/>
      <c r="H2" s="6"/>
      <c r="I2" s="6"/>
      <c r="J2" s="6"/>
      <c r="K2" s="6"/>
      <c r="L2" s="6"/>
      <c r="M2" s="6"/>
      <c r="N2" s="6"/>
      <c r="O2" s="4"/>
      <c r="P2" s="4"/>
      <c r="Q2" s="5"/>
      <c r="R2" s="4"/>
      <c r="S2" s="3"/>
      <c r="T2" s="2"/>
      <c r="U2" s="7"/>
    </row>
    <row r="3" spans="1:22" ht="15.75" customHeight="1" x14ac:dyDescent="0.25">
      <c r="A3" s="10" t="s">
        <v>2</v>
      </c>
      <c r="B3" s="11"/>
      <c r="C3" s="12"/>
      <c r="D3" s="13"/>
      <c r="E3" s="12"/>
      <c r="F3" s="6"/>
      <c r="G3" s="6"/>
      <c r="H3" s="6"/>
      <c r="I3" s="6"/>
      <c r="J3" s="6"/>
      <c r="K3" s="6"/>
      <c r="L3" s="6"/>
      <c r="M3" s="6"/>
      <c r="N3" s="6"/>
      <c r="O3" s="4"/>
      <c r="P3" s="4"/>
      <c r="Q3" s="5"/>
      <c r="R3" s="4"/>
      <c r="S3" s="3"/>
      <c r="T3" s="2"/>
      <c r="U3" s="7"/>
    </row>
    <row r="4" spans="1:22" ht="15.75" customHeight="1" x14ac:dyDescent="0.25">
      <c r="A4" s="14"/>
      <c r="B4" s="15"/>
      <c r="S4" s="3" t="s">
        <v>3</v>
      </c>
    </row>
    <row r="5" spans="1:22" ht="28.5" customHeight="1" x14ac:dyDescent="0.25">
      <c r="A5" s="111" t="s">
        <v>4</v>
      </c>
      <c r="B5" s="111"/>
      <c r="C5" s="111"/>
      <c r="D5" s="111"/>
      <c r="E5" s="111"/>
      <c r="F5" s="111"/>
      <c r="G5" s="111"/>
      <c r="H5" s="111"/>
      <c r="I5" s="111"/>
      <c r="J5" s="111"/>
      <c r="K5" s="111"/>
      <c r="L5" s="111"/>
      <c r="M5" s="111"/>
      <c r="N5" s="111"/>
      <c r="O5" s="111"/>
      <c r="P5" s="111"/>
      <c r="Q5" s="111"/>
      <c r="R5" s="111"/>
      <c r="S5" s="111"/>
      <c r="T5" s="23"/>
      <c r="U5" s="23"/>
    </row>
    <row r="6" spans="1:22" ht="20.25" customHeight="1" x14ac:dyDescent="0.25">
      <c r="A6" s="111" t="s">
        <v>5</v>
      </c>
      <c r="B6" s="111"/>
      <c r="C6" s="111"/>
      <c r="D6" s="111"/>
      <c r="E6" s="111"/>
      <c r="F6" s="111"/>
      <c r="G6" s="111"/>
      <c r="H6" s="111"/>
      <c r="I6" s="111"/>
      <c r="J6" s="111"/>
      <c r="K6" s="111"/>
      <c r="L6" s="111"/>
      <c r="M6" s="111"/>
      <c r="N6" s="111"/>
      <c r="O6" s="111"/>
      <c r="P6" s="111"/>
      <c r="Q6" s="111"/>
      <c r="R6" s="111"/>
      <c r="S6" s="111"/>
      <c r="T6" s="24"/>
      <c r="U6" s="23"/>
    </row>
    <row r="7" spans="1:22" ht="18" customHeight="1" x14ac:dyDescent="0.25">
      <c r="A7" s="112" t="s">
        <v>112</v>
      </c>
      <c r="B7" s="112"/>
      <c r="C7" s="112"/>
      <c r="D7" s="112"/>
      <c r="E7" s="112"/>
      <c r="F7" s="112"/>
      <c r="G7" s="112"/>
      <c r="H7" s="112"/>
      <c r="I7" s="112"/>
      <c r="J7" s="112"/>
      <c r="K7" s="112"/>
      <c r="L7" s="112"/>
      <c r="M7" s="112"/>
      <c r="N7" s="112"/>
      <c r="O7" s="112"/>
      <c r="P7" s="112"/>
      <c r="Q7" s="112"/>
      <c r="R7" s="112"/>
      <c r="S7" s="112"/>
      <c r="T7" s="15"/>
      <c r="U7" s="25"/>
    </row>
    <row r="8" spans="1:22" ht="19.5" customHeight="1" x14ac:dyDescent="0.25">
      <c r="A8" s="112" t="s">
        <v>6</v>
      </c>
      <c r="B8" s="112"/>
      <c r="C8" s="112"/>
      <c r="D8" s="112"/>
      <c r="E8" s="112"/>
      <c r="F8" s="112"/>
      <c r="G8" s="112"/>
      <c r="H8" s="112"/>
      <c r="I8" s="112"/>
      <c r="J8" s="112"/>
      <c r="K8" s="112"/>
      <c r="L8" s="112"/>
      <c r="M8" s="112"/>
      <c r="N8" s="112"/>
      <c r="O8" s="112"/>
      <c r="P8" s="112"/>
      <c r="Q8" s="112"/>
      <c r="R8" s="112"/>
      <c r="S8" s="112"/>
      <c r="T8" s="26"/>
    </row>
    <row r="9" spans="1:22" ht="15.75" customHeight="1" x14ac:dyDescent="0.25">
      <c r="S9" s="27"/>
    </row>
    <row r="10" spans="1:22" ht="19.5" customHeight="1" x14ac:dyDescent="0.25">
      <c r="A10" s="28" t="s">
        <v>7</v>
      </c>
      <c r="B10" s="29"/>
      <c r="S10" s="27"/>
      <c r="T10" s="30"/>
    </row>
    <row r="11" spans="1:22" ht="15.75" customHeight="1" x14ac:dyDescent="0.25">
      <c r="S11" s="9"/>
    </row>
    <row r="12" spans="1:22" ht="21" customHeight="1" x14ac:dyDescent="0.25">
      <c r="A12" s="113" t="s">
        <v>8</v>
      </c>
      <c r="B12" s="116" t="s">
        <v>9</v>
      </c>
      <c r="C12" s="119" t="s">
        <v>10</v>
      </c>
      <c r="D12" s="113" t="s">
        <v>11</v>
      </c>
      <c r="E12" s="122" t="s">
        <v>12</v>
      </c>
      <c r="F12" s="123"/>
      <c r="G12" s="123"/>
      <c r="H12" s="123"/>
      <c r="I12" s="123"/>
      <c r="J12" s="123"/>
      <c r="K12" s="123"/>
      <c r="L12" s="123"/>
      <c r="M12" s="123"/>
      <c r="N12" s="123"/>
      <c r="O12" s="124"/>
      <c r="P12" s="125" t="s">
        <v>13</v>
      </c>
      <c r="Q12" s="113" t="s">
        <v>14</v>
      </c>
      <c r="R12" s="128" t="s">
        <v>15</v>
      </c>
      <c r="S12" s="113" t="s">
        <v>16</v>
      </c>
      <c r="T12" s="31"/>
      <c r="U12" s="7"/>
    </row>
    <row r="13" spans="1:22" ht="15.75" customHeight="1" x14ac:dyDescent="0.25">
      <c r="A13" s="114"/>
      <c r="B13" s="117"/>
      <c r="C13" s="120"/>
      <c r="D13" s="114"/>
      <c r="E13" s="130" t="s">
        <v>17</v>
      </c>
      <c r="F13" s="130" t="s">
        <v>18</v>
      </c>
      <c r="G13" s="32"/>
      <c r="H13" s="32"/>
      <c r="I13" s="32"/>
      <c r="J13" s="32"/>
      <c r="K13" s="32"/>
      <c r="L13" s="32"/>
      <c r="M13" s="32"/>
      <c r="N13" s="32"/>
      <c r="O13" s="113" t="s">
        <v>19</v>
      </c>
      <c r="P13" s="126"/>
      <c r="Q13" s="114"/>
      <c r="R13" s="129"/>
      <c r="S13" s="114"/>
      <c r="T13" s="31"/>
      <c r="U13" s="7"/>
    </row>
    <row r="14" spans="1:22" ht="31.5" x14ac:dyDescent="0.25">
      <c r="A14" s="115"/>
      <c r="B14" s="118"/>
      <c r="C14" s="121"/>
      <c r="D14" s="115"/>
      <c r="E14" s="131"/>
      <c r="F14" s="131"/>
      <c r="G14" s="33"/>
      <c r="H14" s="33"/>
      <c r="I14" s="33"/>
      <c r="J14" s="33"/>
      <c r="K14" s="33"/>
      <c r="L14" s="33"/>
      <c r="M14" s="33"/>
      <c r="N14" s="33"/>
      <c r="O14" s="115"/>
      <c r="P14" s="127"/>
      <c r="Q14" s="115"/>
      <c r="R14" s="105" t="s">
        <v>20</v>
      </c>
      <c r="S14" s="115"/>
      <c r="T14" s="31"/>
      <c r="U14" s="7"/>
      <c r="V14" s="8" t="s">
        <v>21</v>
      </c>
    </row>
    <row r="15" spans="1:22" ht="31.5" customHeight="1" x14ac:dyDescent="0.25">
      <c r="A15" s="35" t="s">
        <v>22</v>
      </c>
      <c r="B15" s="36"/>
      <c r="C15" s="37" t="s">
        <v>23</v>
      </c>
      <c r="D15" s="35">
        <v>1</v>
      </c>
      <c r="E15" s="35">
        <v>2</v>
      </c>
      <c r="F15" s="35">
        <v>3</v>
      </c>
      <c r="G15" s="35"/>
      <c r="H15" s="35"/>
      <c r="I15" s="35"/>
      <c r="J15" s="35"/>
      <c r="K15" s="35"/>
      <c r="L15" s="35"/>
      <c r="M15" s="35"/>
      <c r="N15" s="35"/>
      <c r="O15" s="35">
        <v>4</v>
      </c>
      <c r="P15" s="35"/>
      <c r="Q15" s="35" t="s">
        <v>24</v>
      </c>
      <c r="R15" s="36" t="s">
        <v>25</v>
      </c>
      <c r="S15" s="35" t="s">
        <v>26</v>
      </c>
      <c r="T15" s="31"/>
      <c r="U15" s="7"/>
    </row>
    <row r="16" spans="1:22" ht="31.5" customHeight="1" x14ac:dyDescent="0.25">
      <c r="A16" s="35" t="s">
        <v>22</v>
      </c>
      <c r="B16" s="36"/>
      <c r="C16" s="38" t="s">
        <v>27</v>
      </c>
      <c r="D16" s="35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4"/>
      <c r="P16" s="34"/>
      <c r="Q16" s="40" t="s">
        <v>28</v>
      </c>
      <c r="R16" s="35"/>
      <c r="S16" s="41"/>
      <c r="T16" s="2"/>
      <c r="U16" s="7"/>
    </row>
    <row r="17" spans="1:26" ht="31.5" customHeight="1" x14ac:dyDescent="0.25">
      <c r="A17" s="35" t="s">
        <v>29</v>
      </c>
      <c r="B17" s="36"/>
      <c r="C17" s="38" t="s">
        <v>30</v>
      </c>
      <c r="D17" s="35"/>
      <c r="E17" s="39"/>
      <c r="F17" s="39"/>
      <c r="G17" s="42" t="s">
        <v>31</v>
      </c>
      <c r="H17" s="42" t="s">
        <v>32</v>
      </c>
      <c r="I17" s="42" t="s">
        <v>33</v>
      </c>
      <c r="J17" s="42" t="s">
        <v>34</v>
      </c>
      <c r="K17" s="42" t="s">
        <v>35</v>
      </c>
      <c r="L17" s="42" t="s">
        <v>36</v>
      </c>
      <c r="M17" s="42" t="s">
        <v>37</v>
      </c>
      <c r="N17" s="42" t="s">
        <v>38</v>
      </c>
      <c r="O17" s="34"/>
      <c r="P17" s="34"/>
      <c r="Q17" s="40"/>
      <c r="R17" s="35"/>
      <c r="S17" s="41"/>
      <c r="T17" s="2"/>
      <c r="U17" s="7"/>
    </row>
    <row r="18" spans="1:26" ht="30" customHeight="1" x14ac:dyDescent="0.25">
      <c r="A18" s="34">
        <v>1</v>
      </c>
      <c r="B18" s="43" t="s">
        <v>130</v>
      </c>
      <c r="C18" s="44" t="s">
        <v>131</v>
      </c>
      <c r="D18" s="34" t="s">
        <v>132</v>
      </c>
      <c r="E18" s="45">
        <v>46163</v>
      </c>
      <c r="F18" s="45">
        <v>46163</v>
      </c>
      <c r="G18" s="46">
        <v>5</v>
      </c>
      <c r="H18" s="46">
        <f t="shared" ref="H18:H30" ca="1" si="0">SUMPRODUCT(--(WEEKDAY(ROW(INDIRECT($E13:$E34&amp;":"&amp;$F13:$F29)),1)=2))</f>
        <v>0</v>
      </c>
      <c r="I18" s="46">
        <f t="shared" ref="I18:I30" ca="1" si="1">SUMPRODUCT(--(WEEKDAY(ROW(INDIRECT($E13:$E34&amp;":"&amp;$F13:$F29)),1)=3))</f>
        <v>0</v>
      </c>
      <c r="J18" s="46">
        <f t="shared" ref="J18:J30" ca="1" si="2">SUMPRODUCT(--(WEEKDAY(ROW(INDIRECT($E13:$E34&amp;":"&amp;$F13:$F29)),1)=4))</f>
        <v>0</v>
      </c>
      <c r="K18" s="46">
        <f t="shared" ref="K18:K30" ca="1" si="3">SUMPRODUCT(--(WEEKDAY(ROW(INDIRECT($E13:$E34&amp;":"&amp;$F13:$F29)),1)=5))</f>
        <v>1</v>
      </c>
      <c r="L18" s="46">
        <f t="shared" ref="L18:L30" ca="1" si="4">SUMPRODUCT(--(WEEKDAY(ROW(INDIRECT($E13:$E34&amp;":"&amp;$F13:$F29)),1)=6))</f>
        <v>0</v>
      </c>
      <c r="M18" s="46">
        <f t="shared" ref="M18:M30" ca="1" si="5">SUMPRODUCT(--(WEEKDAY(ROW(INDIRECT($E13:$E34&amp;":"&amp;$F13:$F29)),1)=7))</f>
        <v>0</v>
      </c>
      <c r="N18" s="46">
        <f t="shared" ref="N18" ca="1" si="6">SUM(H18:M18)</f>
        <v>1</v>
      </c>
      <c r="O18" s="47">
        <f>F18-E18+1</f>
        <v>1</v>
      </c>
      <c r="P18" s="47"/>
      <c r="Q18" s="48"/>
      <c r="R18" s="48"/>
      <c r="S18" s="49"/>
      <c r="T18" s="50" t="s">
        <v>39</v>
      </c>
      <c r="U18" s="9" t="s">
        <v>40</v>
      </c>
      <c r="V18" s="8" t="s">
        <v>41</v>
      </c>
      <c r="W18" s="8"/>
      <c r="Z18" s="48" t="s">
        <v>104</v>
      </c>
    </row>
    <row r="19" spans="1:26" ht="30" customHeight="1" x14ac:dyDescent="0.25">
      <c r="A19" s="34">
        <v>2</v>
      </c>
      <c r="B19" s="43" t="s">
        <v>133</v>
      </c>
      <c r="C19" s="44" t="s">
        <v>134</v>
      </c>
      <c r="D19" s="34" t="s">
        <v>135</v>
      </c>
      <c r="E19" s="45">
        <v>46162</v>
      </c>
      <c r="F19" s="45">
        <v>46164</v>
      </c>
      <c r="G19" s="46">
        <v>1</v>
      </c>
      <c r="H19" s="46">
        <f t="shared" ca="1" si="0"/>
        <v>0</v>
      </c>
      <c r="I19" s="46">
        <f t="shared" ca="1" si="1"/>
        <v>0</v>
      </c>
      <c r="J19" s="46">
        <f t="shared" ca="1" si="2"/>
        <v>1</v>
      </c>
      <c r="K19" s="46">
        <f t="shared" ca="1" si="3"/>
        <v>1</v>
      </c>
      <c r="L19" s="46">
        <f t="shared" ca="1" si="4"/>
        <v>1</v>
      </c>
      <c r="M19" s="46">
        <f t="shared" ca="1" si="5"/>
        <v>0</v>
      </c>
      <c r="N19" s="46">
        <f t="shared" ref="N19:N46" ca="1" si="7">SUM(H19:M19)</f>
        <v>3</v>
      </c>
      <c r="O19" s="47">
        <f t="shared" ref="O19:O46" si="8">F19-E19+1</f>
        <v>3</v>
      </c>
      <c r="P19" s="47"/>
      <c r="Q19" s="48"/>
      <c r="R19" s="48"/>
      <c r="S19" s="49"/>
      <c r="T19" s="50" t="s">
        <v>39</v>
      </c>
      <c r="U19" s="9" t="s">
        <v>40</v>
      </c>
      <c r="V19" s="8" t="s">
        <v>42</v>
      </c>
      <c r="W19" s="8"/>
      <c r="Z19" s="48" t="s">
        <v>105</v>
      </c>
    </row>
    <row r="20" spans="1:26" ht="30" customHeight="1" x14ac:dyDescent="0.25">
      <c r="A20" s="34">
        <v>3</v>
      </c>
      <c r="B20" s="43" t="s">
        <v>136</v>
      </c>
      <c r="C20" s="44" t="s">
        <v>137</v>
      </c>
      <c r="D20" s="34" t="s">
        <v>138</v>
      </c>
      <c r="E20" s="45">
        <v>46156</v>
      </c>
      <c r="F20" s="45">
        <v>46158</v>
      </c>
      <c r="G20" s="46">
        <v>1</v>
      </c>
      <c r="H20" s="46">
        <f t="shared" ca="1" si="0"/>
        <v>0</v>
      </c>
      <c r="I20" s="46">
        <f t="shared" ca="1" si="1"/>
        <v>0</v>
      </c>
      <c r="J20" s="46">
        <f t="shared" ca="1" si="2"/>
        <v>0</v>
      </c>
      <c r="K20" s="46">
        <f t="shared" ca="1" si="3"/>
        <v>1</v>
      </c>
      <c r="L20" s="46">
        <f t="shared" ca="1" si="4"/>
        <v>1</v>
      </c>
      <c r="M20" s="46">
        <f t="shared" ca="1" si="5"/>
        <v>1</v>
      </c>
      <c r="N20" s="46">
        <f t="shared" ca="1" si="7"/>
        <v>3</v>
      </c>
      <c r="O20" s="47">
        <f t="shared" si="8"/>
        <v>3</v>
      </c>
      <c r="P20" s="47"/>
      <c r="Q20" s="48"/>
      <c r="R20" s="48"/>
      <c r="S20" s="49"/>
      <c r="T20" s="50" t="s">
        <v>39</v>
      </c>
      <c r="U20" s="9" t="s">
        <v>40</v>
      </c>
      <c r="V20" s="8" t="s">
        <v>43</v>
      </c>
      <c r="W20" s="8"/>
      <c r="Z20" s="48" t="s">
        <v>106</v>
      </c>
    </row>
    <row r="21" spans="1:26" ht="30" customHeight="1" x14ac:dyDescent="0.25">
      <c r="A21" s="34">
        <v>4</v>
      </c>
      <c r="B21" s="43" t="s">
        <v>136</v>
      </c>
      <c r="C21" s="44" t="s">
        <v>137</v>
      </c>
      <c r="D21" s="34" t="s">
        <v>138</v>
      </c>
      <c r="E21" s="45">
        <v>46160</v>
      </c>
      <c r="F21" s="45">
        <v>46162</v>
      </c>
      <c r="G21" s="46">
        <v>1</v>
      </c>
      <c r="H21" s="46">
        <f t="shared" ca="1" si="0"/>
        <v>1</v>
      </c>
      <c r="I21" s="46">
        <f t="shared" ca="1" si="1"/>
        <v>1</v>
      </c>
      <c r="J21" s="46">
        <f t="shared" ca="1" si="2"/>
        <v>1</v>
      </c>
      <c r="K21" s="46">
        <f t="shared" ca="1" si="3"/>
        <v>0</v>
      </c>
      <c r="L21" s="46">
        <f t="shared" ca="1" si="4"/>
        <v>0</v>
      </c>
      <c r="M21" s="46">
        <f t="shared" ca="1" si="5"/>
        <v>0</v>
      </c>
      <c r="N21" s="46">
        <f t="shared" ca="1" si="7"/>
        <v>3</v>
      </c>
      <c r="O21" s="47">
        <f t="shared" si="8"/>
        <v>3</v>
      </c>
      <c r="P21" s="47"/>
      <c r="Q21" s="48"/>
      <c r="R21" s="48"/>
      <c r="S21" s="49"/>
      <c r="T21" s="50" t="s">
        <v>39</v>
      </c>
      <c r="U21" s="9" t="s">
        <v>40</v>
      </c>
      <c r="V21" s="8" t="s">
        <v>44</v>
      </c>
      <c r="W21" s="8"/>
      <c r="Z21" s="48" t="s">
        <v>105</v>
      </c>
    </row>
    <row r="22" spans="1:26" ht="30" customHeight="1" x14ac:dyDescent="0.25">
      <c r="A22" s="34">
        <v>5</v>
      </c>
      <c r="B22" s="43" t="s">
        <v>139</v>
      </c>
      <c r="C22" s="44" t="s">
        <v>140</v>
      </c>
      <c r="D22" s="34" t="s">
        <v>141</v>
      </c>
      <c r="E22" s="45">
        <v>46164</v>
      </c>
      <c r="F22" s="45">
        <v>46164</v>
      </c>
      <c r="G22" s="46">
        <v>1</v>
      </c>
      <c r="H22" s="46">
        <f t="shared" ca="1" si="0"/>
        <v>0</v>
      </c>
      <c r="I22" s="46">
        <f t="shared" ca="1" si="1"/>
        <v>0</v>
      </c>
      <c r="J22" s="46">
        <f t="shared" ca="1" si="2"/>
        <v>0</v>
      </c>
      <c r="K22" s="46">
        <f t="shared" ca="1" si="3"/>
        <v>0</v>
      </c>
      <c r="L22" s="46">
        <f t="shared" ca="1" si="4"/>
        <v>1</v>
      </c>
      <c r="M22" s="46">
        <f t="shared" ca="1" si="5"/>
        <v>0</v>
      </c>
      <c r="N22" s="46">
        <f t="shared" ca="1" si="7"/>
        <v>1</v>
      </c>
      <c r="O22" s="47">
        <f t="shared" si="8"/>
        <v>1</v>
      </c>
      <c r="P22" s="47"/>
      <c r="Q22" s="48"/>
      <c r="R22" s="48"/>
      <c r="S22" s="49"/>
      <c r="T22" s="50" t="s">
        <v>39</v>
      </c>
      <c r="U22" s="9" t="s">
        <v>40</v>
      </c>
      <c r="V22" s="8" t="s">
        <v>45</v>
      </c>
      <c r="W22" s="8"/>
      <c r="Z22" s="48" t="s">
        <v>105</v>
      </c>
    </row>
    <row r="23" spans="1:26" ht="30" customHeight="1" x14ac:dyDescent="0.25">
      <c r="A23" s="34">
        <v>6</v>
      </c>
      <c r="B23" s="43" t="s">
        <v>142</v>
      </c>
      <c r="C23" s="44" t="s">
        <v>143</v>
      </c>
      <c r="D23" s="34" t="s">
        <v>144</v>
      </c>
      <c r="E23" s="45">
        <v>46157</v>
      </c>
      <c r="F23" s="45">
        <v>46158</v>
      </c>
      <c r="G23" s="46">
        <v>1</v>
      </c>
      <c r="H23" s="46">
        <f t="shared" ca="1" si="0"/>
        <v>0</v>
      </c>
      <c r="I23" s="46">
        <f t="shared" ca="1" si="1"/>
        <v>0</v>
      </c>
      <c r="J23" s="46">
        <f t="shared" ca="1" si="2"/>
        <v>0</v>
      </c>
      <c r="K23" s="46">
        <f t="shared" ca="1" si="3"/>
        <v>0</v>
      </c>
      <c r="L23" s="46">
        <f t="shared" ca="1" si="4"/>
        <v>1</v>
      </c>
      <c r="M23" s="46">
        <f t="shared" ca="1" si="5"/>
        <v>1</v>
      </c>
      <c r="N23" s="46">
        <f t="shared" ca="1" si="7"/>
        <v>2</v>
      </c>
      <c r="O23" s="47">
        <f t="shared" si="8"/>
        <v>2</v>
      </c>
      <c r="P23" s="47"/>
      <c r="Q23" s="48"/>
      <c r="R23" s="48"/>
      <c r="S23" s="49"/>
      <c r="T23" s="50" t="s">
        <v>39</v>
      </c>
      <c r="U23" s="9" t="s">
        <v>40</v>
      </c>
      <c r="V23" s="8" t="s">
        <v>46</v>
      </c>
      <c r="W23" s="8"/>
      <c r="Z23" s="48" t="s">
        <v>105</v>
      </c>
    </row>
    <row r="24" spans="1:26" ht="30" customHeight="1" x14ac:dyDescent="0.25">
      <c r="A24" s="34">
        <v>7</v>
      </c>
      <c r="B24" s="43" t="s">
        <v>145</v>
      </c>
      <c r="C24" s="44" t="s">
        <v>146</v>
      </c>
      <c r="D24" s="34" t="s">
        <v>147</v>
      </c>
      <c r="E24" s="45">
        <v>46164</v>
      </c>
      <c r="F24" s="45">
        <v>46164</v>
      </c>
      <c r="G24" s="46">
        <v>1</v>
      </c>
      <c r="H24" s="46">
        <f t="shared" ca="1" si="0"/>
        <v>0</v>
      </c>
      <c r="I24" s="46">
        <f t="shared" ca="1" si="1"/>
        <v>0</v>
      </c>
      <c r="J24" s="46">
        <f t="shared" ca="1" si="2"/>
        <v>0</v>
      </c>
      <c r="K24" s="46">
        <f t="shared" ca="1" si="3"/>
        <v>0</v>
      </c>
      <c r="L24" s="46">
        <f t="shared" ca="1" si="4"/>
        <v>1</v>
      </c>
      <c r="M24" s="46">
        <f t="shared" ca="1" si="5"/>
        <v>0</v>
      </c>
      <c r="N24" s="46">
        <f t="shared" ca="1" si="7"/>
        <v>1</v>
      </c>
      <c r="O24" s="47">
        <f t="shared" si="8"/>
        <v>1</v>
      </c>
      <c r="P24" s="47"/>
      <c r="Q24" s="48"/>
      <c r="R24" s="48"/>
      <c r="S24" s="49"/>
      <c r="T24" s="50" t="s">
        <v>39</v>
      </c>
      <c r="U24" s="9" t="s">
        <v>40</v>
      </c>
      <c r="V24" s="8" t="s">
        <v>47</v>
      </c>
      <c r="W24" s="8"/>
      <c r="Z24" s="48" t="s">
        <v>107</v>
      </c>
    </row>
    <row r="25" spans="1:26" ht="30" customHeight="1" x14ac:dyDescent="0.25">
      <c r="A25" s="34">
        <v>8</v>
      </c>
      <c r="B25" s="43" t="s">
        <v>148</v>
      </c>
      <c r="C25" s="44" t="s">
        <v>149</v>
      </c>
      <c r="D25" s="34" t="s">
        <v>150</v>
      </c>
      <c r="E25" s="45">
        <v>46164</v>
      </c>
      <c r="F25" s="45">
        <v>46164</v>
      </c>
      <c r="G25" s="46">
        <v>14</v>
      </c>
      <c r="H25" s="46">
        <f t="shared" ca="1" si="0"/>
        <v>0</v>
      </c>
      <c r="I25" s="46">
        <f t="shared" ca="1" si="1"/>
        <v>0</v>
      </c>
      <c r="J25" s="46">
        <f t="shared" ca="1" si="2"/>
        <v>0</v>
      </c>
      <c r="K25" s="46">
        <f t="shared" ca="1" si="3"/>
        <v>0</v>
      </c>
      <c r="L25" s="46">
        <f t="shared" ca="1" si="4"/>
        <v>1</v>
      </c>
      <c r="M25" s="46">
        <f t="shared" ca="1" si="5"/>
        <v>0</v>
      </c>
      <c r="N25" s="46">
        <f t="shared" ca="1" si="7"/>
        <v>1</v>
      </c>
      <c r="O25" s="47">
        <f t="shared" si="8"/>
        <v>1</v>
      </c>
      <c r="P25" s="47"/>
      <c r="Q25" s="48"/>
      <c r="R25" s="48"/>
      <c r="S25" s="49"/>
      <c r="T25" s="50" t="s">
        <v>39</v>
      </c>
      <c r="U25" s="9" t="s">
        <v>40</v>
      </c>
      <c r="V25" s="8" t="s">
        <v>48</v>
      </c>
      <c r="W25" s="8"/>
      <c r="Z25" s="48" t="s">
        <v>108</v>
      </c>
    </row>
    <row r="26" spans="1:26" ht="30" customHeight="1" x14ac:dyDescent="0.25">
      <c r="A26" s="34">
        <v>9</v>
      </c>
      <c r="B26" s="43" t="s">
        <v>151</v>
      </c>
      <c r="C26" s="44" t="s">
        <v>122</v>
      </c>
      <c r="D26" s="34" t="s">
        <v>152</v>
      </c>
      <c r="E26" s="45">
        <v>46162</v>
      </c>
      <c r="F26" s="45">
        <v>46162</v>
      </c>
      <c r="G26" s="46">
        <v>1</v>
      </c>
      <c r="H26" s="46">
        <f t="shared" ca="1" si="0"/>
        <v>0</v>
      </c>
      <c r="I26" s="46">
        <f t="shared" ca="1" si="1"/>
        <v>0</v>
      </c>
      <c r="J26" s="46">
        <f t="shared" ca="1" si="2"/>
        <v>1</v>
      </c>
      <c r="K26" s="46">
        <f t="shared" ca="1" si="3"/>
        <v>0</v>
      </c>
      <c r="L26" s="46">
        <f t="shared" ca="1" si="4"/>
        <v>0</v>
      </c>
      <c r="M26" s="46">
        <f t="shared" ca="1" si="5"/>
        <v>0</v>
      </c>
      <c r="N26" s="46">
        <f t="shared" ca="1" si="7"/>
        <v>1</v>
      </c>
      <c r="O26" s="47">
        <f t="shared" si="8"/>
        <v>1</v>
      </c>
      <c r="P26" s="47"/>
      <c r="Q26" s="48"/>
      <c r="R26" s="48"/>
      <c r="S26" s="49"/>
      <c r="T26" s="50" t="s">
        <v>39</v>
      </c>
      <c r="U26" s="9" t="s">
        <v>40</v>
      </c>
      <c r="V26" s="8" t="s">
        <v>49</v>
      </c>
      <c r="W26" s="8"/>
      <c r="Z26" s="48" t="s">
        <v>105</v>
      </c>
    </row>
    <row r="27" spans="1:26" ht="30" customHeight="1" x14ac:dyDescent="0.25">
      <c r="A27" s="34">
        <v>10</v>
      </c>
      <c r="B27" s="43" t="s">
        <v>153</v>
      </c>
      <c r="C27" s="44" t="s">
        <v>154</v>
      </c>
      <c r="D27" s="34" t="s">
        <v>155</v>
      </c>
      <c r="E27" s="45">
        <v>46164</v>
      </c>
      <c r="F27" s="45">
        <v>46164</v>
      </c>
      <c r="G27" s="46">
        <v>2</v>
      </c>
      <c r="H27" s="46">
        <f t="shared" ca="1" si="0"/>
        <v>0</v>
      </c>
      <c r="I27" s="46">
        <f t="shared" ca="1" si="1"/>
        <v>0</v>
      </c>
      <c r="J27" s="46">
        <f t="shared" ca="1" si="2"/>
        <v>0</v>
      </c>
      <c r="K27" s="46">
        <f t="shared" ca="1" si="3"/>
        <v>0</v>
      </c>
      <c r="L27" s="46">
        <f t="shared" ca="1" si="4"/>
        <v>1</v>
      </c>
      <c r="M27" s="46">
        <f t="shared" ca="1" si="5"/>
        <v>0</v>
      </c>
      <c r="N27" s="46">
        <f t="shared" ca="1" si="7"/>
        <v>1</v>
      </c>
      <c r="O27" s="47">
        <f t="shared" si="8"/>
        <v>1</v>
      </c>
      <c r="P27" s="47"/>
      <c r="Q27" s="48"/>
      <c r="R27" s="48"/>
      <c r="S27" s="49"/>
      <c r="T27" s="50" t="s">
        <v>39</v>
      </c>
      <c r="U27" s="9" t="s">
        <v>40</v>
      </c>
      <c r="V27" s="8" t="s">
        <v>50</v>
      </c>
      <c r="W27" s="8"/>
      <c r="Z27" s="48" t="s">
        <v>105</v>
      </c>
    </row>
    <row r="28" spans="1:26" ht="30" customHeight="1" x14ac:dyDescent="0.25">
      <c r="A28" s="34">
        <v>11</v>
      </c>
      <c r="B28" s="43" t="s">
        <v>156</v>
      </c>
      <c r="C28" s="44" t="s">
        <v>157</v>
      </c>
      <c r="D28" s="34" t="s">
        <v>158</v>
      </c>
      <c r="E28" s="45">
        <v>46167</v>
      </c>
      <c r="F28" s="45">
        <v>46167</v>
      </c>
      <c r="G28" s="46">
        <v>5</v>
      </c>
      <c r="H28" s="46">
        <f t="shared" ca="1" si="0"/>
        <v>1</v>
      </c>
      <c r="I28" s="46">
        <f t="shared" ca="1" si="1"/>
        <v>0</v>
      </c>
      <c r="J28" s="46">
        <f t="shared" ca="1" si="2"/>
        <v>0</v>
      </c>
      <c r="K28" s="46">
        <f t="shared" ca="1" si="3"/>
        <v>0</v>
      </c>
      <c r="L28" s="46">
        <f t="shared" ca="1" si="4"/>
        <v>0</v>
      </c>
      <c r="M28" s="46">
        <f t="shared" ca="1" si="5"/>
        <v>0</v>
      </c>
      <c r="N28" s="46">
        <f t="shared" ca="1" si="7"/>
        <v>1</v>
      </c>
      <c r="O28" s="47">
        <f t="shared" si="8"/>
        <v>1</v>
      </c>
      <c r="P28" s="47"/>
      <c r="Q28" s="48"/>
      <c r="R28" s="48"/>
      <c r="S28" s="49"/>
      <c r="T28" s="50" t="s">
        <v>39</v>
      </c>
      <c r="U28" s="9" t="s">
        <v>40</v>
      </c>
      <c r="V28" s="8" t="s">
        <v>51</v>
      </c>
      <c r="W28" s="8"/>
      <c r="Z28" s="48" t="s">
        <v>105</v>
      </c>
    </row>
    <row r="29" spans="1:26" ht="30" customHeight="1" x14ac:dyDescent="0.25">
      <c r="A29" s="34">
        <v>12</v>
      </c>
      <c r="B29" s="43" t="s">
        <v>159</v>
      </c>
      <c r="C29" s="44" t="s">
        <v>160</v>
      </c>
      <c r="D29" s="34" t="s">
        <v>161</v>
      </c>
      <c r="E29" s="45">
        <v>46167</v>
      </c>
      <c r="F29" s="45">
        <v>46167</v>
      </c>
      <c r="G29" s="46">
        <v>7</v>
      </c>
      <c r="H29" s="46">
        <f t="shared" ca="1" si="0"/>
        <v>1</v>
      </c>
      <c r="I29" s="46">
        <f t="shared" ca="1" si="1"/>
        <v>0</v>
      </c>
      <c r="J29" s="46">
        <f t="shared" ca="1" si="2"/>
        <v>0</v>
      </c>
      <c r="K29" s="46">
        <f t="shared" ca="1" si="3"/>
        <v>0</v>
      </c>
      <c r="L29" s="46">
        <f t="shared" ca="1" si="4"/>
        <v>0</v>
      </c>
      <c r="M29" s="46">
        <f t="shared" ca="1" si="5"/>
        <v>0</v>
      </c>
      <c r="N29" s="46">
        <f t="shared" ca="1" si="7"/>
        <v>1</v>
      </c>
      <c r="O29" s="47">
        <f t="shared" si="8"/>
        <v>1</v>
      </c>
      <c r="P29" s="47"/>
      <c r="Q29" s="48"/>
      <c r="R29" s="48"/>
      <c r="S29" s="49"/>
      <c r="T29" s="50" t="s">
        <v>39</v>
      </c>
      <c r="U29" s="9" t="s">
        <v>40</v>
      </c>
      <c r="V29" s="8" t="s">
        <v>52</v>
      </c>
      <c r="W29" s="8"/>
      <c r="Z29" s="48" t="s">
        <v>105</v>
      </c>
    </row>
    <row r="30" spans="1:26" ht="30" customHeight="1" x14ac:dyDescent="0.25">
      <c r="A30" s="34">
        <v>13</v>
      </c>
      <c r="B30" s="43" t="s">
        <v>162</v>
      </c>
      <c r="C30" s="44" t="s">
        <v>163</v>
      </c>
      <c r="D30" s="34" t="s">
        <v>164</v>
      </c>
      <c r="E30" s="45">
        <v>46167</v>
      </c>
      <c r="F30" s="45">
        <v>46167</v>
      </c>
      <c r="G30" s="46">
        <v>7</v>
      </c>
      <c r="H30" s="46">
        <f t="shared" ca="1" si="0"/>
        <v>1</v>
      </c>
      <c r="I30" s="46">
        <f t="shared" ca="1" si="1"/>
        <v>0</v>
      </c>
      <c r="J30" s="46">
        <f t="shared" ca="1" si="2"/>
        <v>0</v>
      </c>
      <c r="K30" s="46">
        <f t="shared" ca="1" si="3"/>
        <v>0</v>
      </c>
      <c r="L30" s="46">
        <f t="shared" ca="1" si="4"/>
        <v>0</v>
      </c>
      <c r="M30" s="46">
        <f t="shared" ca="1" si="5"/>
        <v>0</v>
      </c>
      <c r="N30" s="46">
        <f t="shared" ca="1" si="7"/>
        <v>1</v>
      </c>
      <c r="O30" s="47">
        <f t="shared" si="8"/>
        <v>1</v>
      </c>
      <c r="P30" s="47"/>
      <c r="Q30" s="48"/>
      <c r="R30" s="48"/>
      <c r="S30" s="49"/>
      <c r="T30" s="50" t="s">
        <v>39</v>
      </c>
      <c r="U30" s="9" t="s">
        <v>40</v>
      </c>
      <c r="V30" s="8" t="s">
        <v>53</v>
      </c>
      <c r="W30" s="8"/>
      <c r="Z30" s="48" t="s">
        <v>105</v>
      </c>
    </row>
    <row r="31" spans="1:26" ht="30" customHeight="1" x14ac:dyDescent="0.25">
      <c r="A31" s="34">
        <v>14</v>
      </c>
      <c r="B31" s="43" t="s">
        <v>165</v>
      </c>
      <c r="C31" s="44" t="s">
        <v>126</v>
      </c>
      <c r="D31" s="34" t="s">
        <v>166</v>
      </c>
      <c r="E31" s="45">
        <v>46168</v>
      </c>
      <c r="F31" s="45">
        <v>46168</v>
      </c>
      <c r="G31" s="46">
        <v>6</v>
      </c>
      <c r="H31" s="46">
        <f ca="1">SUMPRODUCT(--(WEEKDAY(ROW(INDIRECT($E26:$E86&amp;":"&amp;$F26:$F42)),1)=2))</f>
        <v>0</v>
      </c>
      <c r="I31" s="46">
        <f ca="1">SUMPRODUCT(--(WEEKDAY(ROW(INDIRECT($E26:$E86&amp;":"&amp;$F26:$F42)),1)=3))</f>
        <v>1</v>
      </c>
      <c r="J31" s="46">
        <f ca="1">SUMPRODUCT(--(WEEKDAY(ROW(INDIRECT($E26:$E86&amp;":"&amp;$F26:$F42)),1)=4))</f>
        <v>0</v>
      </c>
      <c r="K31" s="46">
        <f ca="1">SUMPRODUCT(--(WEEKDAY(ROW(INDIRECT($E26:$E86&amp;":"&amp;$F26:$F42)),1)=5))</f>
        <v>0</v>
      </c>
      <c r="L31" s="46">
        <f ca="1">SUMPRODUCT(--(WEEKDAY(ROW(INDIRECT($E26:$E86&amp;":"&amp;$F26:$F42)),1)=6))</f>
        <v>0</v>
      </c>
      <c r="M31" s="46">
        <f ca="1">SUMPRODUCT(--(WEEKDAY(ROW(INDIRECT($E26:$E86&amp;":"&amp;$F26:$F42)),1)=7))</f>
        <v>0</v>
      </c>
      <c r="N31" s="46">
        <f t="shared" ca="1" si="7"/>
        <v>1</v>
      </c>
      <c r="O31" s="47">
        <f t="shared" si="8"/>
        <v>1</v>
      </c>
      <c r="P31" s="47"/>
      <c r="Q31" s="48"/>
      <c r="R31" s="48"/>
      <c r="S31" s="49"/>
      <c r="T31" s="50" t="s">
        <v>39</v>
      </c>
      <c r="U31" s="9" t="s">
        <v>40</v>
      </c>
      <c r="V31" s="8" t="s">
        <v>54</v>
      </c>
      <c r="W31" s="8"/>
      <c r="Z31" s="48" t="s">
        <v>105</v>
      </c>
    </row>
    <row r="32" spans="1:26" ht="30" customHeight="1" x14ac:dyDescent="0.25">
      <c r="A32" s="34">
        <v>15</v>
      </c>
      <c r="B32" s="43" t="s">
        <v>167</v>
      </c>
      <c r="C32" s="44" t="s">
        <v>168</v>
      </c>
      <c r="D32" s="34" t="s">
        <v>169</v>
      </c>
      <c r="E32" s="45">
        <v>46160</v>
      </c>
      <c r="F32" s="45">
        <v>46162</v>
      </c>
      <c r="G32" s="46">
        <v>5</v>
      </c>
      <c r="H32" s="46">
        <f ca="1">SUMPRODUCT(--(WEEKDAY(ROW(INDIRECT($E27:$E87&amp;":"&amp;$F27:$F43)),1)=2))</f>
        <v>1</v>
      </c>
      <c r="I32" s="46">
        <f ca="1">SUMPRODUCT(--(WEEKDAY(ROW(INDIRECT($E27:$E87&amp;":"&amp;$F27:$F43)),1)=3))</f>
        <v>1</v>
      </c>
      <c r="J32" s="46">
        <f ca="1">SUMPRODUCT(--(WEEKDAY(ROW(INDIRECT($E27:$E87&amp;":"&amp;$F27:$F43)),1)=4))</f>
        <v>1</v>
      </c>
      <c r="K32" s="46">
        <f ca="1">SUMPRODUCT(--(WEEKDAY(ROW(INDIRECT($E27:$E87&amp;":"&amp;$F27:$F43)),1)=5))</f>
        <v>0</v>
      </c>
      <c r="L32" s="46">
        <f ca="1">SUMPRODUCT(--(WEEKDAY(ROW(INDIRECT($E27:$E87&amp;":"&amp;$F27:$F43)),1)=6))</f>
        <v>0</v>
      </c>
      <c r="M32" s="46">
        <f ca="1">SUMPRODUCT(--(WEEKDAY(ROW(INDIRECT($E27:$E87&amp;":"&amp;$F27:$F43)),1)=7))</f>
        <v>0</v>
      </c>
      <c r="N32" s="46">
        <f t="shared" ca="1" si="7"/>
        <v>3</v>
      </c>
      <c r="O32" s="47">
        <f t="shared" si="8"/>
        <v>3</v>
      </c>
      <c r="P32" s="47"/>
      <c r="Q32" s="48"/>
      <c r="R32" s="48"/>
      <c r="S32" s="49"/>
      <c r="T32" s="50" t="s">
        <v>39</v>
      </c>
      <c r="U32" s="9" t="s">
        <v>40</v>
      </c>
      <c r="V32" s="8" t="s">
        <v>55</v>
      </c>
      <c r="W32" s="8"/>
      <c r="Z32" s="48" t="s">
        <v>105</v>
      </c>
    </row>
    <row r="33" spans="1:26" ht="30" customHeight="1" x14ac:dyDescent="0.25">
      <c r="A33" s="34">
        <v>16</v>
      </c>
      <c r="B33" s="43" t="s">
        <v>167</v>
      </c>
      <c r="C33" s="44" t="s">
        <v>168</v>
      </c>
      <c r="D33" s="34" t="s">
        <v>169</v>
      </c>
      <c r="E33" s="45">
        <v>46163</v>
      </c>
      <c r="F33" s="45">
        <v>46165</v>
      </c>
      <c r="G33" s="46">
        <v>4</v>
      </c>
      <c r="H33" s="46">
        <f ca="1">SUMPRODUCT(--(WEEKDAY(ROW(INDIRECT($E28:$E88&amp;":"&amp;$F28:$F44)),1)=2))</f>
        <v>0</v>
      </c>
      <c r="I33" s="46">
        <f ca="1">SUMPRODUCT(--(WEEKDAY(ROW(INDIRECT($E28:$E88&amp;":"&amp;$F28:$F44)),1)=3))</f>
        <v>0</v>
      </c>
      <c r="J33" s="46">
        <f ca="1">SUMPRODUCT(--(WEEKDAY(ROW(INDIRECT($E28:$E88&amp;":"&amp;$F28:$F44)),1)=4))</f>
        <v>0</v>
      </c>
      <c r="K33" s="46">
        <f ca="1">SUMPRODUCT(--(WEEKDAY(ROW(INDIRECT($E28:$E88&amp;":"&amp;$F28:$F44)),1)=5))</f>
        <v>1</v>
      </c>
      <c r="L33" s="46">
        <f ca="1">SUMPRODUCT(--(WEEKDAY(ROW(INDIRECT($E28:$E88&amp;":"&amp;$F28:$F44)),1)=6))</f>
        <v>1</v>
      </c>
      <c r="M33" s="46">
        <f ca="1">SUMPRODUCT(--(WEEKDAY(ROW(INDIRECT($E28:$E88&amp;":"&amp;$F28:$F44)),1)=7))</f>
        <v>1</v>
      </c>
      <c r="N33" s="46">
        <f t="shared" ca="1" si="7"/>
        <v>3</v>
      </c>
      <c r="O33" s="47">
        <f t="shared" si="8"/>
        <v>3</v>
      </c>
      <c r="P33" s="47"/>
      <c r="Q33" s="48"/>
      <c r="R33" s="48"/>
      <c r="S33" s="49"/>
      <c r="T33" s="50" t="s">
        <v>39</v>
      </c>
      <c r="U33" s="9" t="s">
        <v>40</v>
      </c>
      <c r="V33" s="8" t="s">
        <v>56</v>
      </c>
      <c r="W33" s="8"/>
      <c r="Z33" s="48" t="s">
        <v>105</v>
      </c>
    </row>
    <row r="34" spans="1:26" ht="30" customHeight="1" x14ac:dyDescent="0.25">
      <c r="A34" s="34">
        <v>17</v>
      </c>
      <c r="B34" s="43" t="s">
        <v>170</v>
      </c>
      <c r="C34" s="44" t="s">
        <v>126</v>
      </c>
      <c r="D34" s="34" t="s">
        <v>171</v>
      </c>
      <c r="E34" s="45">
        <v>46157</v>
      </c>
      <c r="F34" s="45">
        <v>46157</v>
      </c>
      <c r="G34" s="46">
        <v>6</v>
      </c>
      <c r="H34" s="46">
        <f ca="1">SUMPRODUCT(--(WEEKDAY(ROW(INDIRECT($E29:$E89&amp;":"&amp;$F29:$F45)),1)=2))</f>
        <v>0</v>
      </c>
      <c r="I34" s="46">
        <f ca="1">SUMPRODUCT(--(WEEKDAY(ROW(INDIRECT($E29:$E89&amp;":"&amp;$F29:$F45)),1)=3))</f>
        <v>0</v>
      </c>
      <c r="J34" s="46">
        <f ca="1">SUMPRODUCT(--(WEEKDAY(ROW(INDIRECT($E29:$E89&amp;":"&amp;$F29:$F45)),1)=4))</f>
        <v>0</v>
      </c>
      <c r="K34" s="46">
        <f ca="1">SUMPRODUCT(--(WEEKDAY(ROW(INDIRECT($E29:$E89&amp;":"&amp;$F29:$F45)),1)=5))</f>
        <v>0</v>
      </c>
      <c r="L34" s="46">
        <f ca="1">SUMPRODUCT(--(WEEKDAY(ROW(INDIRECT($E29:$E89&amp;":"&amp;$F29:$F45)),1)=6))</f>
        <v>1</v>
      </c>
      <c r="M34" s="46">
        <f ca="1">SUMPRODUCT(--(WEEKDAY(ROW(INDIRECT($E29:$E89&amp;":"&amp;$F29:$F45)),1)=7))</f>
        <v>0</v>
      </c>
      <c r="N34" s="46">
        <f t="shared" ca="1" si="7"/>
        <v>1</v>
      </c>
      <c r="O34" s="47">
        <f t="shared" si="8"/>
        <v>1</v>
      </c>
      <c r="P34" s="47"/>
      <c r="Q34" s="48"/>
      <c r="R34" s="48"/>
      <c r="S34" s="49"/>
      <c r="T34" s="50" t="s">
        <v>39</v>
      </c>
      <c r="U34" s="9" t="s">
        <v>40</v>
      </c>
      <c r="V34" s="8" t="s">
        <v>57</v>
      </c>
      <c r="W34" s="8"/>
      <c r="Z34" s="48" t="s">
        <v>105</v>
      </c>
    </row>
    <row r="35" spans="1:26" ht="30" customHeight="1" x14ac:dyDescent="0.25">
      <c r="A35" s="34">
        <v>18</v>
      </c>
      <c r="B35" s="43" t="s">
        <v>123</v>
      </c>
      <c r="C35" s="44" t="s">
        <v>124</v>
      </c>
      <c r="D35" s="34" t="s">
        <v>125</v>
      </c>
      <c r="E35" s="45">
        <v>46163</v>
      </c>
      <c r="F35" s="45">
        <v>46163</v>
      </c>
      <c r="G35" s="46">
        <v>13</v>
      </c>
      <c r="H35" s="46">
        <f ca="1">SUMPRODUCT(--(WEEKDAY(ROW(INDIRECT($E30:$E90&amp;":"&amp;$F30:$F46)),1)=2))</f>
        <v>0</v>
      </c>
      <c r="I35" s="46">
        <f ca="1">SUMPRODUCT(--(WEEKDAY(ROW(INDIRECT($E30:$E90&amp;":"&amp;$F30:$F46)),1)=3))</f>
        <v>0</v>
      </c>
      <c r="J35" s="46">
        <f ca="1">SUMPRODUCT(--(WEEKDAY(ROW(INDIRECT($E30:$E90&amp;":"&amp;$F30:$F46)),1)=4))</f>
        <v>0</v>
      </c>
      <c r="K35" s="46">
        <f ca="1">SUMPRODUCT(--(WEEKDAY(ROW(INDIRECT($E30:$E90&amp;":"&amp;$F30:$F46)),1)=5))</f>
        <v>1</v>
      </c>
      <c r="L35" s="46">
        <f ca="1">SUMPRODUCT(--(WEEKDAY(ROW(INDIRECT($E30:$E90&amp;":"&amp;$F30:$F46)),1)=6))</f>
        <v>0</v>
      </c>
      <c r="M35" s="46">
        <f ca="1">SUMPRODUCT(--(WEEKDAY(ROW(INDIRECT($E30:$E90&amp;":"&amp;$F30:$F46)),1)=7))</f>
        <v>0</v>
      </c>
      <c r="N35" s="46">
        <f t="shared" ca="1" si="7"/>
        <v>1</v>
      </c>
      <c r="O35" s="47">
        <f t="shared" si="8"/>
        <v>1</v>
      </c>
      <c r="P35" s="47"/>
      <c r="Q35" s="48"/>
      <c r="R35" s="48"/>
      <c r="S35" s="49"/>
      <c r="T35" s="50" t="s">
        <v>39</v>
      </c>
      <c r="U35" s="9" t="s">
        <v>40</v>
      </c>
      <c r="W35" s="8"/>
      <c r="Z35" s="48" t="s">
        <v>105</v>
      </c>
    </row>
    <row r="36" spans="1:26" ht="30" customHeight="1" x14ac:dyDescent="0.25">
      <c r="A36" s="34">
        <v>19</v>
      </c>
      <c r="B36" s="43" t="s">
        <v>172</v>
      </c>
      <c r="C36" s="44" t="s">
        <v>173</v>
      </c>
      <c r="D36" s="34" t="s">
        <v>174</v>
      </c>
      <c r="E36" s="45">
        <v>46143</v>
      </c>
      <c r="F36" s="45">
        <v>46163</v>
      </c>
      <c r="G36" s="46">
        <v>13</v>
      </c>
      <c r="H36" s="46">
        <f ca="1">SUMPRODUCT(--(WEEKDAY(ROW(INDIRECT($E31:$E91&amp;":"&amp;$F31:$F86)),1)=2))</f>
        <v>3</v>
      </c>
      <c r="I36" s="46">
        <f ca="1">SUMPRODUCT(--(WEEKDAY(ROW(INDIRECT($E31:$E91&amp;":"&amp;$F31:$F86)),1)=3))</f>
        <v>3</v>
      </c>
      <c r="J36" s="46">
        <f ca="1">SUMPRODUCT(--(WEEKDAY(ROW(INDIRECT($E31:$E91&amp;":"&amp;$F31:$F86)),1)=4))</f>
        <v>3</v>
      </c>
      <c r="K36" s="46">
        <f ca="1">SUMPRODUCT(--(WEEKDAY(ROW(INDIRECT($E31:$E91&amp;":"&amp;$F31:$F86)),1)=5))</f>
        <v>3</v>
      </c>
      <c r="L36" s="46">
        <f ca="1">SUMPRODUCT(--(WEEKDAY(ROW(INDIRECT($E31:$E91&amp;":"&amp;$F31:$F86)),1)=6))</f>
        <v>3</v>
      </c>
      <c r="M36" s="46">
        <f ca="1">SUMPRODUCT(--(WEEKDAY(ROW(INDIRECT($E31:$E91&amp;":"&amp;$F31:$F86)),1)=7))</f>
        <v>3</v>
      </c>
      <c r="N36" s="46">
        <f t="shared" ca="1" si="7"/>
        <v>18</v>
      </c>
      <c r="O36" s="47">
        <f t="shared" si="8"/>
        <v>21</v>
      </c>
      <c r="P36" s="47"/>
      <c r="Q36" s="48"/>
      <c r="R36" s="48"/>
      <c r="S36" s="49"/>
      <c r="T36" s="50" t="s">
        <v>39</v>
      </c>
      <c r="U36" s="9" t="s">
        <v>40</v>
      </c>
      <c r="V36" s="8" t="s">
        <v>58</v>
      </c>
      <c r="W36" s="8"/>
      <c r="Z36" s="48" t="s">
        <v>105</v>
      </c>
    </row>
    <row r="37" spans="1:26" ht="30" customHeight="1" x14ac:dyDescent="0.25">
      <c r="A37" s="34">
        <v>20</v>
      </c>
      <c r="B37" s="43" t="s">
        <v>175</v>
      </c>
      <c r="C37" s="44" t="s">
        <v>176</v>
      </c>
      <c r="D37" s="34" t="s">
        <v>177</v>
      </c>
      <c r="E37" s="45">
        <v>46150</v>
      </c>
      <c r="F37" s="45">
        <v>46162</v>
      </c>
      <c r="G37" s="46">
        <v>11</v>
      </c>
      <c r="H37" s="46">
        <f ca="1">SUMPRODUCT(--(WEEKDAY(ROW(INDIRECT($E32:$E92&amp;":"&amp;$F32:$F87)),1)=2))</f>
        <v>2</v>
      </c>
      <c r="I37" s="46">
        <f ca="1">SUMPRODUCT(--(WEEKDAY(ROW(INDIRECT($E32:$E92&amp;":"&amp;$F32:$F87)),1)=3))</f>
        <v>2</v>
      </c>
      <c r="J37" s="46">
        <f ca="1">SUMPRODUCT(--(WEEKDAY(ROW(INDIRECT($E32:$E92&amp;":"&amp;$F32:$F87)),1)=4))</f>
        <v>2</v>
      </c>
      <c r="K37" s="46">
        <f ca="1">SUMPRODUCT(--(WEEKDAY(ROW(INDIRECT($E32:$E92&amp;":"&amp;$F32:$F87)),1)=5))</f>
        <v>1</v>
      </c>
      <c r="L37" s="46">
        <f ca="1">SUMPRODUCT(--(WEEKDAY(ROW(INDIRECT($E32:$E92&amp;":"&amp;$F32:$F87)),1)=6))</f>
        <v>2</v>
      </c>
      <c r="M37" s="46">
        <f ca="1">SUMPRODUCT(--(WEEKDAY(ROW(INDIRECT($E32:$E92&amp;":"&amp;$F32:$F87)),1)=7))</f>
        <v>2</v>
      </c>
      <c r="N37" s="46">
        <f t="shared" ca="1" si="7"/>
        <v>11</v>
      </c>
      <c r="O37" s="47">
        <f t="shared" si="8"/>
        <v>13</v>
      </c>
      <c r="P37" s="47"/>
      <c r="Q37" s="48"/>
      <c r="R37" s="48"/>
      <c r="S37" s="49"/>
      <c r="T37" s="50" t="s">
        <v>39</v>
      </c>
      <c r="U37" s="9" t="s">
        <v>59</v>
      </c>
      <c r="W37" s="8"/>
      <c r="Z37" s="48" t="s">
        <v>105</v>
      </c>
    </row>
    <row r="38" spans="1:26" ht="30" customHeight="1" x14ac:dyDescent="0.25">
      <c r="A38" s="34">
        <v>21</v>
      </c>
      <c r="B38" s="43" t="s">
        <v>178</v>
      </c>
      <c r="C38" s="44" t="s">
        <v>179</v>
      </c>
      <c r="D38" s="34" t="s">
        <v>180</v>
      </c>
      <c r="E38" s="45">
        <v>46156</v>
      </c>
      <c r="F38" s="45">
        <v>46166</v>
      </c>
      <c r="G38" s="46">
        <v>7</v>
      </c>
      <c r="H38" s="46">
        <f ca="1">SUMPRODUCT(--(WEEKDAY(ROW(INDIRECT($E33:$E113&amp;":"&amp;$F33:$F88)),1)=2))</f>
        <v>1</v>
      </c>
      <c r="I38" s="46">
        <f ca="1">SUMPRODUCT(--(WEEKDAY(ROW(INDIRECT($E33:$E113&amp;":"&amp;$F33:$F88)),1)=3))</f>
        <v>1</v>
      </c>
      <c r="J38" s="46">
        <f ca="1">SUMPRODUCT(--(WEEKDAY(ROW(INDIRECT($E33:$E113&amp;":"&amp;$F33:$F88)),1)=4))</f>
        <v>1</v>
      </c>
      <c r="K38" s="46">
        <f ca="1">SUMPRODUCT(--(WEEKDAY(ROW(INDIRECT($E33:$E113&amp;":"&amp;$F33:$F88)),1)=5))</f>
        <v>2</v>
      </c>
      <c r="L38" s="46">
        <f ca="1">SUMPRODUCT(--(WEEKDAY(ROW(INDIRECT($E33:$E113&amp;":"&amp;$F33:$F88)),1)=6))</f>
        <v>2</v>
      </c>
      <c r="M38" s="46">
        <f ca="1">SUMPRODUCT(--(WEEKDAY(ROW(INDIRECT($E33:$E113&amp;":"&amp;$F33:$F88)),1)=7))</f>
        <v>2</v>
      </c>
      <c r="N38" s="46">
        <f t="shared" ca="1" si="7"/>
        <v>9</v>
      </c>
      <c r="O38" s="47">
        <f t="shared" si="8"/>
        <v>11</v>
      </c>
      <c r="P38" s="47"/>
      <c r="Q38" s="48"/>
      <c r="R38" s="48"/>
      <c r="S38" s="49"/>
      <c r="T38" s="50" t="s">
        <v>39</v>
      </c>
      <c r="U38" s="9" t="s">
        <v>60</v>
      </c>
      <c r="W38" s="8"/>
      <c r="Z38" s="48" t="s">
        <v>105</v>
      </c>
    </row>
    <row r="39" spans="1:26" ht="30" customHeight="1" x14ac:dyDescent="0.25">
      <c r="A39" s="34">
        <v>22</v>
      </c>
      <c r="B39" s="43" t="s">
        <v>181</v>
      </c>
      <c r="C39" s="44" t="s">
        <v>182</v>
      </c>
      <c r="D39" s="34" t="s">
        <v>183</v>
      </c>
      <c r="E39" s="45">
        <v>46157</v>
      </c>
      <c r="F39" s="45">
        <v>46167</v>
      </c>
      <c r="G39" s="46">
        <f ca="1">SUMPRODUCT(--(WEEKDAY(ROW(INDIRECT($E34:$E114&amp;":"&amp;$F34:$F89)),1)=1))</f>
        <v>2</v>
      </c>
      <c r="H39" s="46">
        <f ca="1">SUMPRODUCT(--(WEEKDAY(ROW(INDIRECT($E34:$E114&amp;":"&amp;$F34:$F89)),1)=2))</f>
        <v>2</v>
      </c>
      <c r="I39" s="46">
        <f ca="1">SUMPRODUCT(--(WEEKDAY(ROW(INDIRECT($E34:$E114&amp;":"&amp;$F34:$F89)),1)=3))</f>
        <v>1</v>
      </c>
      <c r="J39" s="46">
        <f ca="1">SUMPRODUCT(--(WEEKDAY(ROW(INDIRECT($E34:$E114&amp;":"&amp;$F34:$F89)),1)=4))</f>
        <v>1</v>
      </c>
      <c r="K39" s="46">
        <f ca="1">SUMPRODUCT(--(WEEKDAY(ROW(INDIRECT($E34:$E114&amp;":"&amp;$F34:$F89)),1)=5))</f>
        <v>1</v>
      </c>
      <c r="L39" s="46">
        <f ca="1">SUMPRODUCT(--(WEEKDAY(ROW(INDIRECT($E34:$E114&amp;":"&amp;$F34:$F89)),1)=6))</f>
        <v>2</v>
      </c>
      <c r="M39" s="46">
        <f ca="1">SUMPRODUCT(--(WEEKDAY(ROW(INDIRECT($E34:$E114&amp;":"&amp;$F34:$F89)),1)=7))</f>
        <v>2</v>
      </c>
      <c r="N39" s="46">
        <f t="shared" ca="1" si="7"/>
        <v>9</v>
      </c>
      <c r="O39" s="47">
        <f t="shared" si="8"/>
        <v>11</v>
      </c>
      <c r="P39" s="47"/>
      <c r="Q39" s="48"/>
      <c r="R39" s="48"/>
      <c r="S39" s="49"/>
      <c r="T39" s="50" t="s">
        <v>39</v>
      </c>
      <c r="U39" s="9" t="s">
        <v>59</v>
      </c>
      <c r="W39" s="8"/>
      <c r="Z39" s="48" t="s">
        <v>105</v>
      </c>
    </row>
    <row r="40" spans="1:26" ht="30" customHeight="1" x14ac:dyDescent="0.25">
      <c r="A40" s="34">
        <v>23</v>
      </c>
      <c r="B40" s="43" t="s">
        <v>184</v>
      </c>
      <c r="C40" s="44" t="s">
        <v>185</v>
      </c>
      <c r="D40" s="34" t="s">
        <v>186</v>
      </c>
      <c r="E40" s="45">
        <v>46163</v>
      </c>
      <c r="F40" s="45">
        <v>46168</v>
      </c>
      <c r="G40" s="46">
        <f ca="1">SUMPRODUCT(--(WEEKDAY(ROW(INDIRECT($E35:$E115&amp;":"&amp;$F35:$F90)),1)=1))</f>
        <v>1</v>
      </c>
      <c r="H40" s="46">
        <f ca="1">SUMPRODUCT(--(WEEKDAY(ROW(INDIRECT($E35:$E115&amp;":"&amp;$F35:$F90)),1)=2))</f>
        <v>1</v>
      </c>
      <c r="I40" s="46">
        <f ca="1">SUMPRODUCT(--(WEEKDAY(ROW(INDIRECT($E35:$E115&amp;":"&amp;$F35:$F90)),1)=3))</f>
        <v>1</v>
      </c>
      <c r="J40" s="46">
        <f ca="1">SUMPRODUCT(--(WEEKDAY(ROW(INDIRECT($E35:$E115&amp;":"&amp;$F35:$F90)),1)=4))</f>
        <v>0</v>
      </c>
      <c r="K40" s="46">
        <f ca="1">SUMPRODUCT(--(WEEKDAY(ROW(INDIRECT($E35:$E115&amp;":"&amp;$F35:$F90)),1)=5))</f>
        <v>1</v>
      </c>
      <c r="L40" s="46">
        <f ca="1">SUMPRODUCT(--(WEEKDAY(ROW(INDIRECT($E35:$E115&amp;":"&amp;$F35:$F90)),1)=6))</f>
        <v>1</v>
      </c>
      <c r="M40" s="46">
        <f ca="1">SUMPRODUCT(--(WEEKDAY(ROW(INDIRECT($E35:$E115&amp;":"&amp;$F35:$F90)),1)=7))</f>
        <v>1</v>
      </c>
      <c r="N40" s="46">
        <f t="shared" ca="1" si="7"/>
        <v>5</v>
      </c>
      <c r="O40" s="47">
        <f t="shared" si="8"/>
        <v>6</v>
      </c>
      <c r="P40" s="47"/>
      <c r="Q40" s="48"/>
      <c r="R40" s="48"/>
      <c r="S40" s="49"/>
      <c r="T40" s="50" t="s">
        <v>39</v>
      </c>
      <c r="U40" s="9" t="s">
        <v>59</v>
      </c>
      <c r="W40" s="8"/>
      <c r="Z40" s="48"/>
    </row>
    <row r="41" spans="1:26" ht="30" customHeight="1" x14ac:dyDescent="0.25">
      <c r="A41" s="34">
        <v>24</v>
      </c>
      <c r="B41" s="43" t="s">
        <v>187</v>
      </c>
      <c r="C41" s="44" t="s">
        <v>188</v>
      </c>
      <c r="D41" s="34" t="s">
        <v>189</v>
      </c>
      <c r="E41" s="45">
        <v>46161</v>
      </c>
      <c r="F41" s="45">
        <v>46164</v>
      </c>
      <c r="G41" s="46">
        <f ca="1">SUMPRODUCT(--(WEEKDAY(ROW(INDIRECT($E36:$E116&amp;":"&amp;$F36:$F91)),1)=1))</f>
        <v>0</v>
      </c>
      <c r="H41" s="46">
        <f ca="1">SUMPRODUCT(--(WEEKDAY(ROW(INDIRECT($E36:$E116&amp;":"&amp;$F36:$F91)),1)=2))</f>
        <v>0</v>
      </c>
      <c r="I41" s="46">
        <f ca="1">SUMPRODUCT(--(WEEKDAY(ROW(INDIRECT($E36:$E116&amp;":"&amp;$F36:$F91)),1)=3))</f>
        <v>1</v>
      </c>
      <c r="J41" s="46">
        <f ca="1">SUMPRODUCT(--(WEEKDAY(ROW(INDIRECT($E36:$E116&amp;":"&amp;$F36:$F91)),1)=4))</f>
        <v>1</v>
      </c>
      <c r="K41" s="46">
        <f ca="1">SUMPRODUCT(--(WEEKDAY(ROW(INDIRECT($E36:$E116&amp;":"&amp;$F36:$F91)),1)=5))</f>
        <v>1</v>
      </c>
      <c r="L41" s="46">
        <f ca="1">SUMPRODUCT(--(WEEKDAY(ROW(INDIRECT($E36:$E116&amp;":"&amp;$F36:$F91)),1)=6))</f>
        <v>1</v>
      </c>
      <c r="M41" s="46">
        <f ca="1">SUMPRODUCT(--(WEEKDAY(ROW(INDIRECT($E36:$E116&amp;":"&amp;$F36:$F91)),1)=7))</f>
        <v>0</v>
      </c>
      <c r="N41" s="46">
        <f t="shared" ca="1" si="7"/>
        <v>4</v>
      </c>
      <c r="O41" s="47">
        <f t="shared" si="8"/>
        <v>4</v>
      </c>
      <c r="P41" s="47"/>
      <c r="Q41" s="48"/>
      <c r="R41" s="48"/>
      <c r="S41" s="49"/>
      <c r="T41" s="50" t="s">
        <v>39</v>
      </c>
      <c r="U41" s="9" t="s">
        <v>61</v>
      </c>
      <c r="W41" s="8"/>
      <c r="Z41" s="48"/>
    </row>
    <row r="42" spans="1:26" ht="30" customHeight="1" x14ac:dyDescent="0.25">
      <c r="A42" s="34">
        <v>25</v>
      </c>
      <c r="B42" s="43" t="s">
        <v>190</v>
      </c>
      <c r="C42" s="44" t="s">
        <v>191</v>
      </c>
      <c r="D42" s="34" t="s">
        <v>192</v>
      </c>
      <c r="E42" s="45">
        <v>46156</v>
      </c>
      <c r="F42" s="45">
        <v>46168</v>
      </c>
      <c r="G42" s="46">
        <f ca="1">SUMPRODUCT(--(WEEKDAY(ROW(INDIRECT($E37:$E117&amp;":"&amp;$F37:$F92)),1)=1))</f>
        <v>2</v>
      </c>
      <c r="H42" s="46">
        <f ca="1">SUMPRODUCT(--(WEEKDAY(ROW(INDIRECT($E37:$E117&amp;":"&amp;$F37:$F92)),1)=2))</f>
        <v>2</v>
      </c>
      <c r="I42" s="46">
        <f ca="1">SUMPRODUCT(--(WEEKDAY(ROW(INDIRECT($E37:$E117&amp;":"&amp;$F37:$F92)),1)=3))</f>
        <v>2</v>
      </c>
      <c r="J42" s="46">
        <f ca="1">SUMPRODUCT(--(WEEKDAY(ROW(INDIRECT($E37:$E117&amp;":"&amp;$F37:$F92)),1)=4))</f>
        <v>1</v>
      </c>
      <c r="K42" s="46">
        <f ca="1">SUMPRODUCT(--(WEEKDAY(ROW(INDIRECT($E37:$E117&amp;":"&amp;$F37:$F92)),1)=5))</f>
        <v>2</v>
      </c>
      <c r="L42" s="46">
        <f ca="1">SUMPRODUCT(--(WEEKDAY(ROW(INDIRECT($E37:$E117&amp;":"&amp;$F37:$F92)),1)=6))</f>
        <v>2</v>
      </c>
      <c r="M42" s="46">
        <f ca="1">SUMPRODUCT(--(WEEKDAY(ROW(INDIRECT($E37:$E117&amp;":"&amp;$F37:$F92)),1)=7))</f>
        <v>2</v>
      </c>
      <c r="N42" s="46">
        <f t="shared" ca="1" si="7"/>
        <v>11</v>
      </c>
      <c r="O42" s="47">
        <f t="shared" si="8"/>
        <v>13</v>
      </c>
      <c r="P42" s="47"/>
      <c r="Q42" s="48"/>
      <c r="R42" s="48"/>
      <c r="S42" s="49"/>
      <c r="T42" s="50" t="s">
        <v>39</v>
      </c>
      <c r="U42" s="9" t="s">
        <v>59</v>
      </c>
      <c r="W42" s="8"/>
      <c r="Z42" s="48" t="s">
        <v>108</v>
      </c>
    </row>
    <row r="43" spans="1:26" ht="30" customHeight="1" x14ac:dyDescent="0.25">
      <c r="A43" s="34">
        <v>26</v>
      </c>
      <c r="B43" s="43" t="s">
        <v>193</v>
      </c>
      <c r="C43" s="44" t="s">
        <v>194</v>
      </c>
      <c r="D43" s="34" t="s">
        <v>195</v>
      </c>
      <c r="E43" s="45">
        <v>46160</v>
      </c>
      <c r="F43" s="45">
        <v>46163</v>
      </c>
      <c r="G43" s="46">
        <f ca="1">SUMPRODUCT(--(WEEKDAY(ROW(INDIRECT($E38:$E118&amp;":"&amp;$F38:$F113)),1)=1))</f>
        <v>0</v>
      </c>
      <c r="H43" s="46">
        <f ca="1">SUMPRODUCT(--(WEEKDAY(ROW(INDIRECT($E38:$E118&amp;":"&amp;$F38:$F113)),1)=2))</f>
        <v>1</v>
      </c>
      <c r="I43" s="46">
        <f ca="1">SUMPRODUCT(--(WEEKDAY(ROW(INDIRECT($E38:$E118&amp;":"&amp;$F38:$F113)),1)=3))</f>
        <v>1</v>
      </c>
      <c r="J43" s="46">
        <f ca="1">SUMPRODUCT(--(WEEKDAY(ROW(INDIRECT($E38:$E118&amp;":"&amp;$F38:$F113)),1)=4))</f>
        <v>1</v>
      </c>
      <c r="K43" s="46">
        <f ca="1">SUMPRODUCT(--(WEEKDAY(ROW(INDIRECT($E38:$E118&amp;":"&amp;$F38:$F113)),1)=5))</f>
        <v>1</v>
      </c>
      <c r="L43" s="46">
        <f ca="1">SUMPRODUCT(--(WEEKDAY(ROW(INDIRECT($E38:$E118&amp;":"&amp;$F38:$F113)),1)=6))</f>
        <v>0</v>
      </c>
      <c r="M43" s="46">
        <f ca="1">SUMPRODUCT(--(WEEKDAY(ROW(INDIRECT($E38:$E118&amp;":"&amp;$F38:$F113)),1)=7))</f>
        <v>0</v>
      </c>
      <c r="N43" s="46">
        <f t="shared" ca="1" si="7"/>
        <v>4</v>
      </c>
      <c r="O43" s="47">
        <f t="shared" si="8"/>
        <v>4</v>
      </c>
      <c r="P43" s="47"/>
      <c r="Q43" s="48"/>
      <c r="R43" s="48"/>
      <c r="S43" s="49"/>
      <c r="T43" s="50" t="s">
        <v>39</v>
      </c>
      <c r="U43" s="9" t="s">
        <v>59</v>
      </c>
      <c r="W43" s="8"/>
      <c r="Z43" s="48" t="s">
        <v>105</v>
      </c>
    </row>
    <row r="44" spans="1:26" ht="30" customHeight="1" x14ac:dyDescent="0.25">
      <c r="A44" s="34">
        <v>27</v>
      </c>
      <c r="B44" s="43"/>
      <c r="C44" s="44"/>
      <c r="D44" s="34"/>
      <c r="E44" s="45"/>
      <c r="F44" s="45"/>
      <c r="G44" s="46" t="e">
        <f ca="1">SUMPRODUCT(--(WEEKDAY(ROW(INDIRECT($E39:$E119&amp;":"&amp;$F39:$F114)),1)=1))</f>
        <v>#REF!</v>
      </c>
      <c r="H44" s="46" t="e">
        <f ca="1">SUMPRODUCT(--(WEEKDAY(ROW(INDIRECT($E39:$E119&amp;":"&amp;$F39:$F114)),1)=2))</f>
        <v>#REF!</v>
      </c>
      <c r="I44" s="46" t="e">
        <f ca="1">SUMPRODUCT(--(WEEKDAY(ROW(INDIRECT($E39:$E119&amp;":"&amp;$F39:$F114)),1)=3))</f>
        <v>#REF!</v>
      </c>
      <c r="J44" s="46" t="e">
        <f ca="1">SUMPRODUCT(--(WEEKDAY(ROW(INDIRECT($E39:$E119&amp;":"&amp;$F39:$F114)),1)=4))</f>
        <v>#REF!</v>
      </c>
      <c r="K44" s="46" t="e">
        <f ca="1">SUMPRODUCT(--(WEEKDAY(ROW(INDIRECT($E39:$E119&amp;":"&amp;$F39:$F114)),1)=5))</f>
        <v>#REF!</v>
      </c>
      <c r="L44" s="46" t="e">
        <f ca="1">SUMPRODUCT(--(WEEKDAY(ROW(INDIRECT($E39:$E119&amp;":"&amp;$F39:$F114)),1)=6))</f>
        <v>#REF!</v>
      </c>
      <c r="M44" s="46" t="e">
        <f ca="1">SUMPRODUCT(--(WEEKDAY(ROW(INDIRECT($E39:$E119&amp;":"&amp;$F39:$F114)),1)=7))</f>
        <v>#REF!</v>
      </c>
      <c r="N44" s="46" t="e">
        <f t="shared" ca="1" si="7"/>
        <v>#REF!</v>
      </c>
      <c r="O44" s="47">
        <f t="shared" si="8"/>
        <v>1</v>
      </c>
      <c r="P44" s="47"/>
      <c r="Q44" s="48"/>
      <c r="R44" s="48"/>
      <c r="S44" s="49"/>
      <c r="T44" s="50" t="s">
        <v>39</v>
      </c>
      <c r="U44" s="9" t="s">
        <v>59</v>
      </c>
      <c r="W44" s="8"/>
      <c r="Z44" s="48" t="s">
        <v>105</v>
      </c>
    </row>
    <row r="45" spans="1:26" ht="30" customHeight="1" x14ac:dyDescent="0.25">
      <c r="A45" s="34">
        <v>28</v>
      </c>
      <c r="B45" s="43"/>
      <c r="C45" s="44"/>
      <c r="D45" s="34"/>
      <c r="E45" s="45"/>
      <c r="F45" s="45"/>
      <c r="G45" s="46" t="e">
        <f ca="1">SUMPRODUCT(--(WEEKDAY(ROW(INDIRECT($E40:$E120&amp;":"&amp;$F40:$F115)),1)=1))</f>
        <v>#REF!</v>
      </c>
      <c r="H45" s="46" t="e">
        <f ca="1">SUMPRODUCT(--(WEEKDAY(ROW(INDIRECT($E40:$E120&amp;":"&amp;$F40:$F115)),1)=2))</f>
        <v>#REF!</v>
      </c>
      <c r="I45" s="46" t="e">
        <f ca="1">SUMPRODUCT(--(WEEKDAY(ROW(INDIRECT($E40:$E120&amp;":"&amp;$F40:$F115)),1)=3))</f>
        <v>#REF!</v>
      </c>
      <c r="J45" s="46" t="e">
        <f ca="1">SUMPRODUCT(--(WEEKDAY(ROW(INDIRECT($E40:$E120&amp;":"&amp;$F40:$F115)),1)=4))</f>
        <v>#REF!</v>
      </c>
      <c r="K45" s="46" t="e">
        <f ca="1">SUMPRODUCT(--(WEEKDAY(ROW(INDIRECT($E40:$E120&amp;":"&amp;$F40:$F115)),1)=5))</f>
        <v>#REF!</v>
      </c>
      <c r="L45" s="46" t="e">
        <f ca="1">SUMPRODUCT(--(WEEKDAY(ROW(INDIRECT($E40:$E120&amp;":"&amp;$F40:$F115)),1)=6))</f>
        <v>#REF!</v>
      </c>
      <c r="M45" s="46" t="e">
        <f ca="1">SUMPRODUCT(--(WEEKDAY(ROW(INDIRECT($E40:$E120&amp;":"&amp;$F40:$F115)),1)=7))</f>
        <v>#REF!</v>
      </c>
      <c r="N45" s="46" t="e">
        <f t="shared" ca="1" si="7"/>
        <v>#REF!</v>
      </c>
      <c r="O45" s="47">
        <f t="shared" si="8"/>
        <v>1</v>
      </c>
      <c r="P45" s="47"/>
      <c r="Q45" s="48"/>
      <c r="R45" s="48"/>
      <c r="S45" s="49"/>
      <c r="T45" s="50" t="s">
        <v>39</v>
      </c>
      <c r="U45" s="9" t="s">
        <v>59</v>
      </c>
      <c r="W45" s="8"/>
      <c r="Z45" s="48" t="s">
        <v>109</v>
      </c>
    </row>
    <row r="46" spans="1:26" ht="30" customHeight="1" x14ac:dyDescent="0.25">
      <c r="A46" s="34">
        <v>29</v>
      </c>
      <c r="B46" s="43"/>
      <c r="C46" s="44"/>
      <c r="D46" s="34"/>
      <c r="E46" s="45"/>
      <c r="F46" s="45"/>
      <c r="G46" s="46" t="e">
        <f ca="1">SUMPRODUCT(--(WEEKDAY(ROW(INDIRECT($E41:$E121&amp;":"&amp;$F41:$F116)),1)=1))</f>
        <v>#REF!</v>
      </c>
      <c r="H46" s="46" t="e">
        <f ca="1">SUMPRODUCT(--(WEEKDAY(ROW(INDIRECT($E41:$E121&amp;":"&amp;$F41:$F116)),1)=2))</f>
        <v>#REF!</v>
      </c>
      <c r="I46" s="46" t="e">
        <f ca="1">SUMPRODUCT(--(WEEKDAY(ROW(INDIRECT($E41:$E121&amp;":"&amp;$F41:$F116)),1)=3))</f>
        <v>#REF!</v>
      </c>
      <c r="J46" s="46" t="e">
        <f ca="1">SUMPRODUCT(--(WEEKDAY(ROW(INDIRECT($E41:$E121&amp;":"&amp;$F41:$F116)),1)=4))</f>
        <v>#REF!</v>
      </c>
      <c r="K46" s="46" t="e">
        <f ca="1">SUMPRODUCT(--(WEEKDAY(ROW(INDIRECT($E41:$E121&amp;":"&amp;$F41:$F116)),1)=5))</f>
        <v>#REF!</v>
      </c>
      <c r="L46" s="46" t="e">
        <f ca="1">SUMPRODUCT(--(WEEKDAY(ROW(INDIRECT($E41:$E121&amp;":"&amp;$F41:$F116)),1)=6))</f>
        <v>#REF!</v>
      </c>
      <c r="M46" s="46" t="e">
        <f ca="1">SUMPRODUCT(--(WEEKDAY(ROW(INDIRECT($E41:$E121&amp;":"&amp;$F41:$F116)),1)=7))</f>
        <v>#REF!</v>
      </c>
      <c r="N46" s="46" t="e">
        <f t="shared" ca="1" si="7"/>
        <v>#REF!</v>
      </c>
      <c r="O46" s="47">
        <f t="shared" si="8"/>
        <v>1</v>
      </c>
      <c r="P46" s="47"/>
      <c r="Q46" s="48"/>
      <c r="R46" s="48"/>
      <c r="S46" s="49"/>
      <c r="T46" s="50" t="s">
        <v>39</v>
      </c>
      <c r="U46" s="9" t="s">
        <v>59</v>
      </c>
      <c r="W46" s="8"/>
      <c r="Z46" s="48" t="s">
        <v>105</v>
      </c>
    </row>
    <row r="47" spans="1:26" ht="30" customHeight="1" x14ac:dyDescent="0.25">
      <c r="A47" s="34">
        <v>30</v>
      </c>
      <c r="B47" s="43"/>
      <c r="C47" s="44"/>
      <c r="D47" s="34"/>
      <c r="E47" s="45"/>
      <c r="F47" s="45"/>
      <c r="G47" s="46" t="e">
        <f ca="1">SUMPRODUCT(--(WEEKDAY(ROW(INDIRECT($E42:$E140&amp;":"&amp;$F42:$F117)),1)=1))</f>
        <v>#REF!</v>
      </c>
      <c r="H47" s="46" t="e">
        <f ca="1">SUMPRODUCT(--(WEEKDAY(ROW(INDIRECT($E42:$E140&amp;":"&amp;$F42:$F117)),1)=2))</f>
        <v>#REF!</v>
      </c>
      <c r="I47" s="46" t="e">
        <f ca="1">SUMPRODUCT(--(WEEKDAY(ROW(INDIRECT($E42:$E140&amp;":"&amp;$F42:$F117)),1)=3))</f>
        <v>#REF!</v>
      </c>
      <c r="J47" s="46" t="e">
        <f ca="1">SUMPRODUCT(--(WEEKDAY(ROW(INDIRECT($E42:$E140&amp;":"&amp;$F42:$F117)),1)=4))</f>
        <v>#REF!</v>
      </c>
      <c r="K47" s="46" t="e">
        <f ca="1">SUMPRODUCT(--(WEEKDAY(ROW(INDIRECT($E42:$E140&amp;":"&amp;$F42:$F117)),1)=5))</f>
        <v>#REF!</v>
      </c>
      <c r="L47" s="46" t="e">
        <f ca="1">SUMPRODUCT(--(WEEKDAY(ROW(INDIRECT($E42:$E140&amp;":"&amp;$F42:$F117)),1)=6))</f>
        <v>#REF!</v>
      </c>
      <c r="M47" s="46" t="e">
        <f ca="1">SUMPRODUCT(--(WEEKDAY(ROW(INDIRECT($E42:$E140&amp;":"&amp;$F42:$F117)),1)=7))</f>
        <v>#REF!</v>
      </c>
      <c r="N47" s="46" t="e">
        <f t="shared" ref="N47:N86" ca="1" si="9">SUM(H47:M47)</f>
        <v>#REF!</v>
      </c>
      <c r="O47" s="47">
        <f t="shared" ref="O47:O86" si="10">F47-E47+1</f>
        <v>1</v>
      </c>
      <c r="P47" s="47"/>
      <c r="Q47" s="48"/>
      <c r="R47" s="48"/>
      <c r="S47" s="49"/>
      <c r="T47" s="50" t="s">
        <v>39</v>
      </c>
      <c r="U47" s="9" t="s">
        <v>59</v>
      </c>
      <c r="W47" s="8"/>
      <c r="Z47" s="48" t="s">
        <v>105</v>
      </c>
    </row>
    <row r="48" spans="1:26" ht="30" customHeight="1" x14ac:dyDescent="0.25">
      <c r="A48" s="34">
        <v>31</v>
      </c>
      <c r="B48" s="43"/>
      <c r="C48" s="44"/>
      <c r="D48" s="34"/>
      <c r="E48" s="45"/>
      <c r="F48" s="45"/>
      <c r="G48" s="46" t="e">
        <f ca="1">SUMPRODUCT(--(WEEKDAY(ROW(INDIRECT($E43:$E141&amp;":"&amp;$F43:$F118)),1)=1))</f>
        <v>#REF!</v>
      </c>
      <c r="H48" s="46" t="e">
        <f ca="1">SUMPRODUCT(--(WEEKDAY(ROW(INDIRECT($E43:$E141&amp;":"&amp;$F43:$F118)),1)=2))</f>
        <v>#REF!</v>
      </c>
      <c r="I48" s="46" t="e">
        <f ca="1">SUMPRODUCT(--(WEEKDAY(ROW(INDIRECT($E43:$E141&amp;":"&amp;$F43:$F118)),1)=3))</f>
        <v>#REF!</v>
      </c>
      <c r="J48" s="46" t="e">
        <f ca="1">SUMPRODUCT(--(WEEKDAY(ROW(INDIRECT($E43:$E141&amp;":"&amp;$F43:$F118)),1)=4))</f>
        <v>#REF!</v>
      </c>
      <c r="K48" s="46" t="e">
        <f ca="1">SUMPRODUCT(--(WEEKDAY(ROW(INDIRECT($E43:$E141&amp;":"&amp;$F43:$F118)),1)=5))</f>
        <v>#REF!</v>
      </c>
      <c r="L48" s="46" t="e">
        <f ca="1">SUMPRODUCT(--(WEEKDAY(ROW(INDIRECT($E43:$E141&amp;":"&amp;$F43:$F118)),1)=6))</f>
        <v>#REF!</v>
      </c>
      <c r="M48" s="46" t="e">
        <f ca="1">SUMPRODUCT(--(WEEKDAY(ROW(INDIRECT($E43:$E141&amp;":"&amp;$F43:$F118)),1)=7))</f>
        <v>#REF!</v>
      </c>
      <c r="N48" s="46" t="e">
        <f t="shared" ca="1" si="9"/>
        <v>#REF!</v>
      </c>
      <c r="O48" s="47">
        <f>F48-E48+1</f>
        <v>1</v>
      </c>
      <c r="P48" s="47"/>
      <c r="Q48" s="48"/>
      <c r="R48" s="48"/>
      <c r="S48" s="49"/>
      <c r="T48" s="50" t="s">
        <v>39</v>
      </c>
      <c r="U48" s="9" t="s">
        <v>59</v>
      </c>
      <c r="W48" s="8"/>
      <c r="Z48" s="48" t="s">
        <v>105</v>
      </c>
    </row>
    <row r="49" spans="1:26" ht="30" customHeight="1" x14ac:dyDescent="0.25">
      <c r="A49" s="34">
        <v>32</v>
      </c>
      <c r="B49" s="43"/>
      <c r="C49" s="44"/>
      <c r="D49" s="34"/>
      <c r="E49" s="45"/>
      <c r="F49" s="45"/>
      <c r="G49" s="46" t="e">
        <f ca="1">SUMPRODUCT(--(WEEKDAY(ROW(INDIRECT($E44:$E142&amp;":"&amp;$F44:$F119)),1)=1))</f>
        <v>#REF!</v>
      </c>
      <c r="H49" s="46" t="e">
        <f ca="1">SUMPRODUCT(--(WEEKDAY(ROW(INDIRECT($E44:$E142&amp;":"&amp;$F44:$F119)),1)=2))</f>
        <v>#REF!</v>
      </c>
      <c r="I49" s="46" t="e">
        <f ca="1">SUMPRODUCT(--(WEEKDAY(ROW(INDIRECT($E44:$E142&amp;":"&amp;$F44:$F119)),1)=3))</f>
        <v>#REF!</v>
      </c>
      <c r="J49" s="46" t="e">
        <f ca="1">SUMPRODUCT(--(WEEKDAY(ROW(INDIRECT($E44:$E142&amp;":"&amp;$F44:$F119)),1)=4))</f>
        <v>#REF!</v>
      </c>
      <c r="K49" s="46" t="e">
        <f ca="1">SUMPRODUCT(--(WEEKDAY(ROW(INDIRECT($E44:$E142&amp;":"&amp;$F44:$F119)),1)=5))</f>
        <v>#REF!</v>
      </c>
      <c r="L49" s="46" t="e">
        <f ca="1">SUMPRODUCT(--(WEEKDAY(ROW(INDIRECT($E44:$E142&amp;":"&amp;$F44:$F119)),1)=6))</f>
        <v>#REF!</v>
      </c>
      <c r="M49" s="46" t="e">
        <f ca="1">SUMPRODUCT(--(WEEKDAY(ROW(INDIRECT($E44:$E142&amp;":"&amp;$F44:$F119)),1)=7))</f>
        <v>#REF!</v>
      </c>
      <c r="N49" s="46" t="e">
        <f t="shared" ca="1" si="9"/>
        <v>#REF!</v>
      </c>
      <c r="O49" s="47">
        <f t="shared" si="10"/>
        <v>1</v>
      </c>
      <c r="P49" s="47"/>
      <c r="Q49" s="48"/>
      <c r="R49" s="48"/>
      <c r="S49" s="49"/>
      <c r="T49" s="50" t="s">
        <v>39</v>
      </c>
      <c r="U49" s="9" t="s">
        <v>59</v>
      </c>
      <c r="W49" s="8"/>
      <c r="Z49" s="48" t="s">
        <v>105</v>
      </c>
    </row>
    <row r="50" spans="1:26" ht="30" customHeight="1" x14ac:dyDescent="0.25">
      <c r="A50" s="34">
        <v>33</v>
      </c>
      <c r="B50" s="43"/>
      <c r="C50" s="44"/>
      <c r="D50" s="34"/>
      <c r="E50" s="45"/>
      <c r="F50" s="45"/>
      <c r="G50" s="46" t="e">
        <f ca="1">SUMPRODUCT(--(WEEKDAY(ROW(INDIRECT($E45:$E143&amp;":"&amp;$F45:$F120)),1)=1))</f>
        <v>#REF!</v>
      </c>
      <c r="H50" s="46" t="e">
        <f ca="1">SUMPRODUCT(--(WEEKDAY(ROW(INDIRECT($E45:$E143&amp;":"&amp;$F45:$F120)),1)=2))</f>
        <v>#REF!</v>
      </c>
      <c r="I50" s="46" t="e">
        <f ca="1">SUMPRODUCT(--(WEEKDAY(ROW(INDIRECT($E45:$E143&amp;":"&amp;$F45:$F120)),1)=3))</f>
        <v>#REF!</v>
      </c>
      <c r="J50" s="46" t="e">
        <f ca="1">SUMPRODUCT(--(WEEKDAY(ROW(INDIRECT($E45:$E143&amp;":"&amp;$F45:$F120)),1)=4))</f>
        <v>#REF!</v>
      </c>
      <c r="K50" s="46" t="e">
        <f ca="1">SUMPRODUCT(--(WEEKDAY(ROW(INDIRECT($E45:$E143&amp;":"&amp;$F45:$F120)),1)=5))</f>
        <v>#REF!</v>
      </c>
      <c r="L50" s="46" t="e">
        <f ca="1">SUMPRODUCT(--(WEEKDAY(ROW(INDIRECT($E45:$E143&amp;":"&amp;$F45:$F120)),1)=6))</f>
        <v>#REF!</v>
      </c>
      <c r="M50" s="46" t="e">
        <f ca="1">SUMPRODUCT(--(WEEKDAY(ROW(INDIRECT($E45:$E143&amp;":"&amp;$F45:$F120)),1)=7))</f>
        <v>#REF!</v>
      </c>
      <c r="N50" s="46" t="e">
        <f t="shared" ca="1" si="9"/>
        <v>#REF!</v>
      </c>
      <c r="O50" s="47">
        <f t="shared" si="10"/>
        <v>1</v>
      </c>
      <c r="P50" s="47"/>
      <c r="Q50" s="48"/>
      <c r="R50" s="48"/>
      <c r="S50" s="49"/>
      <c r="T50" s="50" t="s">
        <v>39</v>
      </c>
      <c r="U50" s="9" t="s">
        <v>59</v>
      </c>
      <c r="W50" s="8"/>
      <c r="Z50" s="48" t="s">
        <v>105</v>
      </c>
    </row>
    <row r="51" spans="1:26" ht="30" customHeight="1" x14ac:dyDescent="0.25">
      <c r="A51" s="34">
        <v>34</v>
      </c>
      <c r="B51" s="43"/>
      <c r="C51" s="44"/>
      <c r="D51" s="34"/>
      <c r="E51" s="45"/>
      <c r="F51" s="45"/>
      <c r="G51" s="46" t="e">
        <f ca="1">SUMPRODUCT(--(WEEKDAY(ROW(INDIRECT($E46:$E154&amp;":"&amp;$F46:$F121)),1)=1))</f>
        <v>#REF!</v>
      </c>
      <c r="H51" s="46" t="e">
        <f ca="1">SUMPRODUCT(--(WEEKDAY(ROW(INDIRECT($E46:$E154&amp;":"&amp;$F46:$F121)),1)=2))</f>
        <v>#REF!</v>
      </c>
      <c r="I51" s="46" t="e">
        <f ca="1">SUMPRODUCT(--(WEEKDAY(ROW(INDIRECT($E46:$E154&amp;":"&amp;$F46:$F121)),1)=3))</f>
        <v>#REF!</v>
      </c>
      <c r="J51" s="46" t="e">
        <f ca="1">SUMPRODUCT(--(WEEKDAY(ROW(INDIRECT($E46:$E154&amp;":"&amp;$F46:$F121)),1)=4))</f>
        <v>#REF!</v>
      </c>
      <c r="K51" s="46" t="e">
        <f ca="1">SUMPRODUCT(--(WEEKDAY(ROW(INDIRECT($E46:$E154&amp;":"&amp;$F46:$F121)),1)=5))</f>
        <v>#REF!</v>
      </c>
      <c r="L51" s="46" t="e">
        <f ca="1">SUMPRODUCT(--(WEEKDAY(ROW(INDIRECT($E46:$E154&amp;":"&amp;$F46:$F121)),1)=6))</f>
        <v>#REF!</v>
      </c>
      <c r="M51" s="46" t="e">
        <f ca="1">SUMPRODUCT(--(WEEKDAY(ROW(INDIRECT($E46:$E154&amp;":"&amp;$F46:$F121)),1)=7))</f>
        <v>#REF!</v>
      </c>
      <c r="N51" s="46" t="e">
        <f t="shared" ca="1" si="9"/>
        <v>#REF!</v>
      </c>
      <c r="O51" s="47">
        <f t="shared" si="10"/>
        <v>1</v>
      </c>
      <c r="P51" s="47"/>
      <c r="Q51" s="48"/>
      <c r="R51" s="48"/>
      <c r="S51" s="49"/>
      <c r="T51" s="50" t="s">
        <v>39</v>
      </c>
      <c r="U51" s="9" t="s">
        <v>59</v>
      </c>
      <c r="W51" s="8"/>
      <c r="Z51" s="48" t="s">
        <v>105</v>
      </c>
    </row>
    <row r="52" spans="1:26" ht="30" customHeight="1" x14ac:dyDescent="0.25">
      <c r="A52" s="34">
        <v>35</v>
      </c>
      <c r="B52" s="43"/>
      <c r="C52" s="44"/>
      <c r="D52" s="34"/>
      <c r="E52" s="45"/>
      <c r="F52" s="45"/>
      <c r="G52" s="46" t="e">
        <f ca="1">SUMPRODUCT(--(WEEKDAY(ROW(INDIRECT($E47:$E155&amp;":"&amp;$F47:$F140)),1)=1))</f>
        <v>#REF!</v>
      </c>
      <c r="H52" s="46" t="e">
        <f ca="1">SUMPRODUCT(--(WEEKDAY(ROW(INDIRECT($E47:$E155&amp;":"&amp;$F47:$F140)),1)=2))</f>
        <v>#REF!</v>
      </c>
      <c r="I52" s="46" t="e">
        <f ca="1">SUMPRODUCT(--(WEEKDAY(ROW(INDIRECT($E47:$E155&amp;":"&amp;$F47:$F140)),1)=3))</f>
        <v>#REF!</v>
      </c>
      <c r="J52" s="46" t="e">
        <f ca="1">SUMPRODUCT(--(WEEKDAY(ROW(INDIRECT($E47:$E155&amp;":"&amp;$F47:$F140)),1)=4))</f>
        <v>#REF!</v>
      </c>
      <c r="K52" s="46" t="e">
        <f ca="1">SUMPRODUCT(--(WEEKDAY(ROW(INDIRECT($E47:$E155&amp;":"&amp;$F47:$F140)),1)=5))</f>
        <v>#REF!</v>
      </c>
      <c r="L52" s="46" t="e">
        <f ca="1">SUMPRODUCT(--(WEEKDAY(ROW(INDIRECT($E47:$E155&amp;":"&amp;$F47:$F140)),1)=6))</f>
        <v>#REF!</v>
      </c>
      <c r="M52" s="46" t="e">
        <f ca="1">SUMPRODUCT(--(WEEKDAY(ROW(INDIRECT($E47:$E155&amp;":"&amp;$F47:$F140)),1)=7))</f>
        <v>#REF!</v>
      </c>
      <c r="N52" s="46" t="e">
        <f t="shared" ca="1" si="9"/>
        <v>#REF!</v>
      </c>
      <c r="O52" s="47">
        <f t="shared" si="10"/>
        <v>1</v>
      </c>
      <c r="P52" s="47"/>
      <c r="Q52" s="48"/>
      <c r="R52" s="48"/>
      <c r="S52" s="49"/>
      <c r="T52" s="50" t="s">
        <v>39</v>
      </c>
      <c r="U52" s="9" t="s">
        <v>59</v>
      </c>
      <c r="W52" s="8"/>
      <c r="Z52" s="48" t="s">
        <v>105</v>
      </c>
    </row>
    <row r="53" spans="1:26" ht="30" customHeight="1" x14ac:dyDescent="0.25">
      <c r="A53" s="34">
        <v>36</v>
      </c>
      <c r="B53" s="43"/>
      <c r="C53" s="44"/>
      <c r="D53" s="34"/>
      <c r="E53" s="45"/>
      <c r="F53" s="45"/>
      <c r="G53" s="46" t="e">
        <f ca="1">SUMPRODUCT(--(WEEKDAY(ROW(INDIRECT($E48:$E156&amp;":"&amp;$F48:$F141)),1)=1))</f>
        <v>#REF!</v>
      </c>
      <c r="H53" s="46" t="e">
        <f ca="1">SUMPRODUCT(--(WEEKDAY(ROW(INDIRECT($E48:$E156&amp;":"&amp;$F48:$F141)),1)=2))</f>
        <v>#REF!</v>
      </c>
      <c r="I53" s="46" t="e">
        <f ca="1">SUMPRODUCT(--(WEEKDAY(ROW(INDIRECT($E48:$E156&amp;":"&amp;$F48:$F141)),1)=3))</f>
        <v>#REF!</v>
      </c>
      <c r="J53" s="46" t="e">
        <f ca="1">SUMPRODUCT(--(WEEKDAY(ROW(INDIRECT($E48:$E156&amp;":"&amp;$F48:$F141)),1)=4))</f>
        <v>#REF!</v>
      </c>
      <c r="K53" s="46" t="e">
        <f ca="1">SUMPRODUCT(--(WEEKDAY(ROW(INDIRECT($E48:$E156&amp;":"&amp;$F48:$F141)),1)=5))</f>
        <v>#REF!</v>
      </c>
      <c r="L53" s="46" t="e">
        <f ca="1">SUMPRODUCT(--(WEEKDAY(ROW(INDIRECT($E48:$E156&amp;":"&amp;$F48:$F141)),1)=6))</f>
        <v>#REF!</v>
      </c>
      <c r="M53" s="46" t="e">
        <f ca="1">SUMPRODUCT(--(WEEKDAY(ROW(INDIRECT($E48:$E156&amp;":"&amp;$F48:$F141)),1)=7))</f>
        <v>#REF!</v>
      </c>
      <c r="N53" s="46" t="e">
        <f t="shared" ca="1" si="9"/>
        <v>#REF!</v>
      </c>
      <c r="O53" s="47">
        <f t="shared" si="10"/>
        <v>1</v>
      </c>
      <c r="P53" s="47"/>
      <c r="Q53" s="48"/>
      <c r="R53" s="48"/>
      <c r="S53" s="49"/>
      <c r="T53" s="50" t="s">
        <v>39</v>
      </c>
      <c r="U53" s="9" t="s">
        <v>59</v>
      </c>
      <c r="W53" s="8"/>
      <c r="Z53" s="48" t="s">
        <v>105</v>
      </c>
    </row>
    <row r="54" spans="1:26" ht="30" customHeight="1" x14ac:dyDescent="0.25">
      <c r="A54" s="34">
        <v>37</v>
      </c>
      <c r="B54" s="43"/>
      <c r="C54" s="44"/>
      <c r="D54" s="34"/>
      <c r="E54" s="45"/>
      <c r="F54" s="45"/>
      <c r="G54" s="46" t="e">
        <f ca="1">SUMPRODUCT(--(WEEKDAY(ROW(INDIRECT($E49:$E157&amp;":"&amp;$F49:$F142)),1)=1))</f>
        <v>#REF!</v>
      </c>
      <c r="H54" s="46" t="e">
        <f ca="1">SUMPRODUCT(--(WEEKDAY(ROW(INDIRECT($E49:$E157&amp;":"&amp;$F49:$F142)),1)=2))</f>
        <v>#REF!</v>
      </c>
      <c r="I54" s="46" t="e">
        <f ca="1">SUMPRODUCT(--(WEEKDAY(ROW(INDIRECT($E49:$E157&amp;":"&amp;$F49:$F142)),1)=3))</f>
        <v>#REF!</v>
      </c>
      <c r="J54" s="46" t="e">
        <f ca="1">SUMPRODUCT(--(WEEKDAY(ROW(INDIRECT($E49:$E157&amp;":"&amp;$F49:$F142)),1)=4))</f>
        <v>#REF!</v>
      </c>
      <c r="K54" s="46" t="e">
        <f ca="1">SUMPRODUCT(--(WEEKDAY(ROW(INDIRECT($E49:$E157&amp;":"&amp;$F49:$F142)),1)=5))</f>
        <v>#REF!</v>
      </c>
      <c r="L54" s="46" t="e">
        <f ca="1">SUMPRODUCT(--(WEEKDAY(ROW(INDIRECT($E49:$E157&amp;":"&amp;$F49:$F142)),1)=6))</f>
        <v>#REF!</v>
      </c>
      <c r="M54" s="46" t="e">
        <f ca="1">SUMPRODUCT(--(WEEKDAY(ROW(INDIRECT($E49:$E157&amp;":"&amp;$F49:$F142)),1)=7))</f>
        <v>#REF!</v>
      </c>
      <c r="N54" s="46" t="e">
        <f t="shared" ca="1" si="9"/>
        <v>#REF!</v>
      </c>
      <c r="O54" s="47">
        <f t="shared" si="10"/>
        <v>1</v>
      </c>
      <c r="P54" s="47"/>
      <c r="Q54" s="48"/>
      <c r="R54" s="48"/>
      <c r="S54" s="49"/>
      <c r="T54" s="50" t="s">
        <v>39</v>
      </c>
      <c r="U54" s="9" t="s">
        <v>59</v>
      </c>
      <c r="W54" s="8"/>
      <c r="Z54" s="48" t="s">
        <v>105</v>
      </c>
    </row>
    <row r="55" spans="1:26" ht="30" customHeight="1" x14ac:dyDescent="0.25">
      <c r="A55" s="34">
        <v>38</v>
      </c>
      <c r="B55" s="43"/>
      <c r="C55" s="44"/>
      <c r="D55" s="34"/>
      <c r="E55" s="45"/>
      <c r="F55" s="45"/>
      <c r="G55" s="46" t="e">
        <f ca="1">SUMPRODUCT(--(WEEKDAY(ROW(INDIRECT($E50:$E158&amp;":"&amp;$F50:$F143)),1)=1))</f>
        <v>#REF!</v>
      </c>
      <c r="H55" s="46" t="e">
        <f ca="1">SUMPRODUCT(--(WEEKDAY(ROW(INDIRECT($E50:$E158&amp;":"&amp;$F50:$F143)),1)=2))</f>
        <v>#REF!</v>
      </c>
      <c r="I55" s="46" t="e">
        <f ca="1">SUMPRODUCT(--(WEEKDAY(ROW(INDIRECT($E50:$E158&amp;":"&amp;$F50:$F143)),1)=3))</f>
        <v>#REF!</v>
      </c>
      <c r="J55" s="46" t="e">
        <f ca="1">SUMPRODUCT(--(WEEKDAY(ROW(INDIRECT($E50:$E158&amp;":"&amp;$F50:$F143)),1)=4))</f>
        <v>#REF!</v>
      </c>
      <c r="K55" s="46" t="e">
        <f ca="1">SUMPRODUCT(--(WEEKDAY(ROW(INDIRECT($E50:$E158&amp;":"&amp;$F50:$F143)),1)=5))</f>
        <v>#REF!</v>
      </c>
      <c r="L55" s="46" t="e">
        <f ca="1">SUMPRODUCT(--(WEEKDAY(ROW(INDIRECT($E50:$E158&amp;":"&amp;$F50:$F143)),1)=6))</f>
        <v>#REF!</v>
      </c>
      <c r="M55" s="46" t="e">
        <f ca="1">SUMPRODUCT(--(WEEKDAY(ROW(INDIRECT($E50:$E158&amp;":"&amp;$F50:$F143)),1)=7))</f>
        <v>#REF!</v>
      </c>
      <c r="N55" s="46" t="e">
        <f t="shared" ca="1" si="9"/>
        <v>#REF!</v>
      </c>
      <c r="O55" s="47">
        <f t="shared" si="10"/>
        <v>1</v>
      </c>
      <c r="P55" s="47"/>
      <c r="Q55" s="48"/>
      <c r="R55" s="48"/>
      <c r="S55" s="49"/>
      <c r="T55" s="50" t="s">
        <v>39</v>
      </c>
      <c r="U55" s="9" t="s">
        <v>59</v>
      </c>
      <c r="W55" s="8"/>
      <c r="Z55" s="48" t="s">
        <v>105</v>
      </c>
    </row>
    <row r="56" spans="1:26" ht="30" customHeight="1" x14ac:dyDescent="0.25">
      <c r="A56" s="34">
        <v>39</v>
      </c>
      <c r="B56" s="43"/>
      <c r="C56" s="44"/>
      <c r="D56" s="34"/>
      <c r="E56" s="45"/>
      <c r="F56" s="45"/>
      <c r="G56" s="46" t="e">
        <f t="shared" ref="G56:G70" ca="1" si="11">SUMPRODUCT(--(WEEKDAY(ROW(INDIRECT($E51:$E159&amp;":"&amp;$F51:$F154)),1)=1))</f>
        <v>#REF!</v>
      </c>
      <c r="H56" s="46" t="e">
        <f t="shared" ref="H56:H70" ca="1" si="12">SUMPRODUCT(--(WEEKDAY(ROW(INDIRECT($E51:$E159&amp;":"&amp;$F51:$F154)),1)=2))</f>
        <v>#REF!</v>
      </c>
      <c r="I56" s="46" t="e">
        <f t="shared" ref="I56:I70" ca="1" si="13">SUMPRODUCT(--(WEEKDAY(ROW(INDIRECT($E51:$E159&amp;":"&amp;$F51:$F154)),1)=3))</f>
        <v>#REF!</v>
      </c>
      <c r="J56" s="46" t="e">
        <f t="shared" ref="J56:J70" ca="1" si="14">SUMPRODUCT(--(WEEKDAY(ROW(INDIRECT($E51:$E159&amp;":"&amp;$F51:$F154)),1)=4))</f>
        <v>#REF!</v>
      </c>
      <c r="K56" s="46" t="e">
        <f t="shared" ref="K56:K70" ca="1" si="15">SUMPRODUCT(--(WEEKDAY(ROW(INDIRECT($E51:$E159&amp;":"&amp;$F51:$F154)),1)=5))</f>
        <v>#REF!</v>
      </c>
      <c r="L56" s="46" t="e">
        <f t="shared" ref="L56:L70" ca="1" si="16">SUMPRODUCT(--(WEEKDAY(ROW(INDIRECT($E51:$E159&amp;":"&amp;$F51:$F154)),1)=6))</f>
        <v>#REF!</v>
      </c>
      <c r="M56" s="46" t="e">
        <f t="shared" ref="M56:M70" ca="1" si="17">SUMPRODUCT(--(WEEKDAY(ROW(INDIRECT($E51:$E159&amp;":"&amp;$F51:$F154)),1)=7))</f>
        <v>#REF!</v>
      </c>
      <c r="N56" s="46" t="e">
        <f t="shared" ca="1" si="9"/>
        <v>#REF!</v>
      </c>
      <c r="O56" s="47">
        <f t="shared" si="10"/>
        <v>1</v>
      </c>
      <c r="P56" s="47"/>
      <c r="Q56" s="48"/>
      <c r="R56" s="48"/>
      <c r="S56" s="49"/>
      <c r="T56" s="50" t="s">
        <v>39</v>
      </c>
      <c r="U56" s="9" t="s">
        <v>59</v>
      </c>
      <c r="W56" s="8"/>
      <c r="Z56" s="48" t="s">
        <v>105</v>
      </c>
    </row>
    <row r="57" spans="1:26" ht="30" customHeight="1" x14ac:dyDescent="0.25">
      <c r="A57" s="34">
        <v>40</v>
      </c>
      <c r="B57" s="43"/>
      <c r="C57" s="44"/>
      <c r="D57" s="34"/>
      <c r="E57" s="45"/>
      <c r="F57" s="45"/>
      <c r="G57" s="46" t="e">
        <f t="shared" ca="1" si="11"/>
        <v>#REF!</v>
      </c>
      <c r="H57" s="46" t="e">
        <f t="shared" ca="1" si="12"/>
        <v>#REF!</v>
      </c>
      <c r="I57" s="46" t="e">
        <f t="shared" ca="1" si="13"/>
        <v>#REF!</v>
      </c>
      <c r="J57" s="46" t="e">
        <f t="shared" ca="1" si="14"/>
        <v>#REF!</v>
      </c>
      <c r="K57" s="46" t="e">
        <f t="shared" ca="1" si="15"/>
        <v>#REF!</v>
      </c>
      <c r="L57" s="46" t="e">
        <f t="shared" ca="1" si="16"/>
        <v>#REF!</v>
      </c>
      <c r="M57" s="46" t="e">
        <f t="shared" ca="1" si="17"/>
        <v>#REF!</v>
      </c>
      <c r="N57" s="46" t="e">
        <f t="shared" ref="N57:N85" ca="1" si="18">SUM(H57:M57)</f>
        <v>#REF!</v>
      </c>
      <c r="O57" s="47">
        <f t="shared" ref="O57:O85" si="19">F57-E57+1</f>
        <v>1</v>
      </c>
      <c r="P57" s="47"/>
      <c r="Q57" s="48"/>
      <c r="R57" s="48"/>
      <c r="S57" s="49"/>
      <c r="T57" s="50"/>
      <c r="U57" s="9"/>
      <c r="W57" s="8"/>
      <c r="Z57" s="48"/>
    </row>
    <row r="58" spans="1:26" ht="30" customHeight="1" x14ac:dyDescent="0.25">
      <c r="A58" s="34">
        <v>41</v>
      </c>
      <c r="B58" s="43"/>
      <c r="C58" s="44"/>
      <c r="D58" s="34"/>
      <c r="E58" s="45"/>
      <c r="F58" s="45"/>
      <c r="G58" s="46" t="e">
        <f t="shared" ca="1" si="11"/>
        <v>#REF!</v>
      </c>
      <c r="H58" s="46" t="e">
        <f t="shared" ca="1" si="12"/>
        <v>#REF!</v>
      </c>
      <c r="I58" s="46" t="e">
        <f t="shared" ca="1" si="13"/>
        <v>#REF!</v>
      </c>
      <c r="J58" s="46" t="e">
        <f t="shared" ca="1" si="14"/>
        <v>#REF!</v>
      </c>
      <c r="K58" s="46" t="e">
        <f t="shared" ca="1" si="15"/>
        <v>#REF!</v>
      </c>
      <c r="L58" s="46" t="e">
        <f t="shared" ca="1" si="16"/>
        <v>#REF!</v>
      </c>
      <c r="M58" s="46" t="e">
        <f t="shared" ca="1" si="17"/>
        <v>#REF!</v>
      </c>
      <c r="N58" s="46" t="e">
        <f t="shared" ca="1" si="18"/>
        <v>#REF!</v>
      </c>
      <c r="O58" s="47">
        <f t="shared" si="19"/>
        <v>1</v>
      </c>
      <c r="P58" s="47"/>
      <c r="Q58" s="48"/>
      <c r="R58" s="48"/>
      <c r="S58" s="49"/>
      <c r="T58" s="50"/>
      <c r="U58" s="9"/>
      <c r="W58" s="8"/>
      <c r="Z58" s="48"/>
    </row>
    <row r="59" spans="1:26" ht="30" customHeight="1" x14ac:dyDescent="0.25">
      <c r="A59" s="34">
        <v>42</v>
      </c>
      <c r="B59" s="43"/>
      <c r="C59" s="44"/>
      <c r="D59" s="34"/>
      <c r="E59" s="45"/>
      <c r="F59" s="45"/>
      <c r="G59" s="46" t="e">
        <f t="shared" ca="1" si="11"/>
        <v>#REF!</v>
      </c>
      <c r="H59" s="46" t="e">
        <f t="shared" ca="1" si="12"/>
        <v>#REF!</v>
      </c>
      <c r="I59" s="46" t="e">
        <f t="shared" ca="1" si="13"/>
        <v>#REF!</v>
      </c>
      <c r="J59" s="46" t="e">
        <f t="shared" ca="1" si="14"/>
        <v>#REF!</v>
      </c>
      <c r="K59" s="46" t="e">
        <f t="shared" ca="1" si="15"/>
        <v>#REF!</v>
      </c>
      <c r="L59" s="46" t="e">
        <f t="shared" ca="1" si="16"/>
        <v>#REF!</v>
      </c>
      <c r="M59" s="46" t="e">
        <f t="shared" ca="1" si="17"/>
        <v>#REF!</v>
      </c>
      <c r="N59" s="46" t="e">
        <f t="shared" ca="1" si="18"/>
        <v>#REF!</v>
      </c>
      <c r="O59" s="47">
        <f t="shared" si="19"/>
        <v>1</v>
      </c>
      <c r="P59" s="47"/>
      <c r="Q59" s="48"/>
      <c r="R59" s="48"/>
      <c r="S59" s="49"/>
      <c r="T59" s="50"/>
      <c r="U59" s="9"/>
      <c r="W59" s="8"/>
      <c r="Z59" s="48"/>
    </row>
    <row r="60" spans="1:26" ht="30" customHeight="1" x14ac:dyDescent="0.25">
      <c r="A60" s="34">
        <v>43</v>
      </c>
      <c r="B60" s="43"/>
      <c r="C60" s="44"/>
      <c r="D60" s="34"/>
      <c r="E60" s="45"/>
      <c r="F60" s="45"/>
      <c r="G60" s="46" t="e">
        <f t="shared" ca="1" si="11"/>
        <v>#REF!</v>
      </c>
      <c r="H60" s="46" t="e">
        <f t="shared" ca="1" si="12"/>
        <v>#REF!</v>
      </c>
      <c r="I60" s="46" t="e">
        <f t="shared" ca="1" si="13"/>
        <v>#REF!</v>
      </c>
      <c r="J60" s="46" t="e">
        <f t="shared" ca="1" si="14"/>
        <v>#REF!</v>
      </c>
      <c r="K60" s="46" t="e">
        <f t="shared" ca="1" si="15"/>
        <v>#REF!</v>
      </c>
      <c r="L60" s="46" t="e">
        <f t="shared" ca="1" si="16"/>
        <v>#REF!</v>
      </c>
      <c r="M60" s="46" t="e">
        <f t="shared" ca="1" si="17"/>
        <v>#REF!</v>
      </c>
      <c r="N60" s="46" t="e">
        <f t="shared" ca="1" si="18"/>
        <v>#REF!</v>
      </c>
      <c r="O60" s="47">
        <f t="shared" si="19"/>
        <v>1</v>
      </c>
      <c r="P60" s="47"/>
      <c r="Q60" s="48"/>
      <c r="R60" s="48"/>
      <c r="S60" s="49"/>
      <c r="T60" s="50"/>
      <c r="U60" s="9"/>
      <c r="W60" s="8"/>
      <c r="Z60" s="48"/>
    </row>
    <row r="61" spans="1:26" ht="30" customHeight="1" x14ac:dyDescent="0.25">
      <c r="A61" s="34">
        <v>44</v>
      </c>
      <c r="B61" s="43"/>
      <c r="C61" s="44"/>
      <c r="D61" s="34"/>
      <c r="E61" s="45"/>
      <c r="F61" s="45"/>
      <c r="G61" s="46" t="e">
        <f t="shared" ca="1" si="11"/>
        <v>#REF!</v>
      </c>
      <c r="H61" s="46" t="e">
        <f t="shared" ca="1" si="12"/>
        <v>#REF!</v>
      </c>
      <c r="I61" s="46" t="e">
        <f t="shared" ca="1" si="13"/>
        <v>#REF!</v>
      </c>
      <c r="J61" s="46" t="e">
        <f t="shared" ca="1" si="14"/>
        <v>#REF!</v>
      </c>
      <c r="K61" s="46" t="e">
        <f t="shared" ca="1" si="15"/>
        <v>#REF!</v>
      </c>
      <c r="L61" s="46" t="e">
        <f t="shared" ca="1" si="16"/>
        <v>#REF!</v>
      </c>
      <c r="M61" s="46" t="e">
        <f t="shared" ca="1" si="17"/>
        <v>#REF!</v>
      </c>
      <c r="N61" s="46" t="e">
        <f t="shared" ca="1" si="18"/>
        <v>#REF!</v>
      </c>
      <c r="O61" s="47">
        <f t="shared" si="19"/>
        <v>1</v>
      </c>
      <c r="P61" s="47"/>
      <c r="Q61" s="48"/>
      <c r="R61" s="48"/>
      <c r="S61" s="49"/>
      <c r="T61" s="50"/>
      <c r="U61" s="9"/>
      <c r="W61" s="8"/>
      <c r="Z61" s="48"/>
    </row>
    <row r="62" spans="1:26" ht="30" customHeight="1" x14ac:dyDescent="0.25">
      <c r="A62" s="34">
        <v>45</v>
      </c>
      <c r="B62" s="43"/>
      <c r="C62" s="44"/>
      <c r="D62" s="34"/>
      <c r="E62" s="45"/>
      <c r="F62" s="45"/>
      <c r="G62" s="46" t="e">
        <f t="shared" ca="1" si="11"/>
        <v>#REF!</v>
      </c>
      <c r="H62" s="46" t="e">
        <f t="shared" ca="1" si="12"/>
        <v>#REF!</v>
      </c>
      <c r="I62" s="46" t="e">
        <f t="shared" ca="1" si="13"/>
        <v>#REF!</v>
      </c>
      <c r="J62" s="46" t="e">
        <f t="shared" ca="1" si="14"/>
        <v>#REF!</v>
      </c>
      <c r="K62" s="46" t="e">
        <f t="shared" ca="1" si="15"/>
        <v>#REF!</v>
      </c>
      <c r="L62" s="46" t="e">
        <f t="shared" ca="1" si="16"/>
        <v>#REF!</v>
      </c>
      <c r="M62" s="46" t="e">
        <f t="shared" ca="1" si="17"/>
        <v>#REF!</v>
      </c>
      <c r="N62" s="46" t="e">
        <f t="shared" ca="1" si="18"/>
        <v>#REF!</v>
      </c>
      <c r="O62" s="47">
        <f t="shared" si="19"/>
        <v>1</v>
      </c>
      <c r="P62" s="47"/>
      <c r="Q62" s="48"/>
      <c r="R62" s="48"/>
      <c r="S62" s="49"/>
      <c r="T62" s="50"/>
      <c r="U62" s="9"/>
      <c r="W62" s="8"/>
      <c r="Z62" s="48"/>
    </row>
    <row r="63" spans="1:26" ht="30" customHeight="1" x14ac:dyDescent="0.25">
      <c r="A63" s="34">
        <v>46</v>
      </c>
      <c r="B63" s="43"/>
      <c r="C63" s="44"/>
      <c r="D63" s="34"/>
      <c r="E63" s="45"/>
      <c r="F63" s="45"/>
      <c r="G63" s="46" t="e">
        <f t="shared" ca="1" si="11"/>
        <v>#REF!</v>
      </c>
      <c r="H63" s="46" t="e">
        <f t="shared" ca="1" si="12"/>
        <v>#REF!</v>
      </c>
      <c r="I63" s="46" t="e">
        <f t="shared" ca="1" si="13"/>
        <v>#REF!</v>
      </c>
      <c r="J63" s="46" t="e">
        <f t="shared" ca="1" si="14"/>
        <v>#REF!</v>
      </c>
      <c r="K63" s="46" t="e">
        <f t="shared" ca="1" si="15"/>
        <v>#REF!</v>
      </c>
      <c r="L63" s="46" t="e">
        <f t="shared" ca="1" si="16"/>
        <v>#REF!</v>
      </c>
      <c r="M63" s="46" t="e">
        <f t="shared" ca="1" si="17"/>
        <v>#REF!</v>
      </c>
      <c r="N63" s="46" t="e">
        <f t="shared" ca="1" si="18"/>
        <v>#REF!</v>
      </c>
      <c r="O63" s="47">
        <f t="shared" si="19"/>
        <v>1</v>
      </c>
      <c r="P63" s="47"/>
      <c r="Q63" s="48"/>
      <c r="R63" s="48"/>
      <c r="S63" s="49"/>
      <c r="T63" s="50"/>
      <c r="U63" s="9"/>
      <c r="W63" s="8"/>
      <c r="Z63" s="48"/>
    </row>
    <row r="64" spans="1:26" ht="30" customHeight="1" x14ac:dyDescent="0.25">
      <c r="A64" s="34">
        <v>47</v>
      </c>
      <c r="B64" s="43"/>
      <c r="C64" s="44"/>
      <c r="D64" s="34"/>
      <c r="E64" s="45"/>
      <c r="F64" s="45"/>
      <c r="G64" s="46" t="e">
        <f t="shared" ca="1" si="11"/>
        <v>#REF!</v>
      </c>
      <c r="H64" s="46" t="e">
        <f t="shared" ca="1" si="12"/>
        <v>#REF!</v>
      </c>
      <c r="I64" s="46" t="e">
        <f t="shared" ca="1" si="13"/>
        <v>#REF!</v>
      </c>
      <c r="J64" s="46" t="e">
        <f t="shared" ca="1" si="14"/>
        <v>#REF!</v>
      </c>
      <c r="K64" s="46" t="e">
        <f t="shared" ca="1" si="15"/>
        <v>#REF!</v>
      </c>
      <c r="L64" s="46" t="e">
        <f t="shared" ca="1" si="16"/>
        <v>#REF!</v>
      </c>
      <c r="M64" s="46" t="e">
        <f t="shared" ca="1" si="17"/>
        <v>#REF!</v>
      </c>
      <c r="N64" s="46" t="e">
        <f t="shared" ca="1" si="18"/>
        <v>#REF!</v>
      </c>
      <c r="O64" s="47">
        <f t="shared" si="19"/>
        <v>1</v>
      </c>
      <c r="P64" s="47"/>
      <c r="Q64" s="48"/>
      <c r="R64" s="48"/>
      <c r="S64" s="49"/>
      <c r="T64" s="50"/>
      <c r="U64" s="9"/>
      <c r="W64" s="8"/>
      <c r="Z64" s="48"/>
    </row>
    <row r="65" spans="1:26" ht="30" customHeight="1" x14ac:dyDescent="0.25">
      <c r="A65" s="34">
        <v>48</v>
      </c>
      <c r="B65" s="43"/>
      <c r="C65" s="44"/>
      <c r="D65" s="34"/>
      <c r="E65" s="45"/>
      <c r="F65" s="45"/>
      <c r="G65" s="46" t="e">
        <f t="shared" ca="1" si="11"/>
        <v>#REF!</v>
      </c>
      <c r="H65" s="46" t="e">
        <f t="shared" ca="1" si="12"/>
        <v>#REF!</v>
      </c>
      <c r="I65" s="46" t="e">
        <f t="shared" ca="1" si="13"/>
        <v>#REF!</v>
      </c>
      <c r="J65" s="46" t="e">
        <f t="shared" ca="1" si="14"/>
        <v>#REF!</v>
      </c>
      <c r="K65" s="46" t="e">
        <f t="shared" ca="1" si="15"/>
        <v>#REF!</v>
      </c>
      <c r="L65" s="46" t="e">
        <f t="shared" ca="1" si="16"/>
        <v>#REF!</v>
      </c>
      <c r="M65" s="46" t="e">
        <f t="shared" ca="1" si="17"/>
        <v>#REF!</v>
      </c>
      <c r="N65" s="46" t="e">
        <f t="shared" ca="1" si="18"/>
        <v>#REF!</v>
      </c>
      <c r="O65" s="47">
        <f t="shared" si="19"/>
        <v>1</v>
      </c>
      <c r="P65" s="47"/>
      <c r="Q65" s="48"/>
      <c r="R65" s="48"/>
      <c r="S65" s="49"/>
      <c r="T65" s="50"/>
      <c r="U65" s="9"/>
      <c r="W65" s="8"/>
      <c r="Z65" s="48"/>
    </row>
    <row r="66" spans="1:26" ht="30" customHeight="1" x14ac:dyDescent="0.25">
      <c r="A66" s="34">
        <v>49</v>
      </c>
      <c r="B66" s="43"/>
      <c r="C66" s="44"/>
      <c r="D66" s="34"/>
      <c r="E66" s="45"/>
      <c r="F66" s="45"/>
      <c r="G66" s="46" t="e">
        <f t="shared" ca="1" si="11"/>
        <v>#REF!</v>
      </c>
      <c r="H66" s="46" t="e">
        <f t="shared" ca="1" si="12"/>
        <v>#REF!</v>
      </c>
      <c r="I66" s="46" t="e">
        <f t="shared" ca="1" si="13"/>
        <v>#REF!</v>
      </c>
      <c r="J66" s="46" t="e">
        <f t="shared" ca="1" si="14"/>
        <v>#REF!</v>
      </c>
      <c r="K66" s="46" t="e">
        <f t="shared" ca="1" si="15"/>
        <v>#REF!</v>
      </c>
      <c r="L66" s="46" t="e">
        <f t="shared" ca="1" si="16"/>
        <v>#REF!</v>
      </c>
      <c r="M66" s="46" t="e">
        <f t="shared" ca="1" si="17"/>
        <v>#REF!</v>
      </c>
      <c r="N66" s="46" t="e">
        <f t="shared" ca="1" si="18"/>
        <v>#REF!</v>
      </c>
      <c r="O66" s="47">
        <f t="shared" si="19"/>
        <v>1</v>
      </c>
      <c r="P66" s="47"/>
      <c r="Q66" s="48"/>
      <c r="R66" s="48"/>
      <c r="S66" s="49"/>
      <c r="T66" s="50"/>
      <c r="U66" s="9"/>
      <c r="W66" s="8"/>
      <c r="Z66" s="48"/>
    </row>
    <row r="67" spans="1:26" ht="30" customHeight="1" x14ac:dyDescent="0.25">
      <c r="A67" s="34">
        <v>50</v>
      </c>
      <c r="B67" s="43"/>
      <c r="C67" s="44"/>
      <c r="D67" s="34"/>
      <c r="E67" s="45"/>
      <c r="F67" s="45"/>
      <c r="G67" s="46" t="e">
        <f t="shared" ca="1" si="11"/>
        <v>#REF!</v>
      </c>
      <c r="H67" s="46" t="e">
        <f t="shared" ca="1" si="12"/>
        <v>#REF!</v>
      </c>
      <c r="I67" s="46" t="e">
        <f t="shared" ca="1" si="13"/>
        <v>#REF!</v>
      </c>
      <c r="J67" s="46" t="e">
        <f t="shared" ca="1" si="14"/>
        <v>#REF!</v>
      </c>
      <c r="K67" s="46" t="e">
        <f t="shared" ca="1" si="15"/>
        <v>#REF!</v>
      </c>
      <c r="L67" s="46" t="e">
        <f t="shared" ca="1" si="16"/>
        <v>#REF!</v>
      </c>
      <c r="M67" s="46" t="e">
        <f t="shared" ca="1" si="17"/>
        <v>#REF!</v>
      </c>
      <c r="N67" s="46" t="e">
        <f t="shared" ca="1" si="18"/>
        <v>#REF!</v>
      </c>
      <c r="O67" s="47">
        <f t="shared" si="19"/>
        <v>1</v>
      </c>
      <c r="P67" s="47"/>
      <c r="Q67" s="48"/>
      <c r="R67" s="48"/>
      <c r="S67" s="49"/>
      <c r="T67" s="50"/>
      <c r="U67" s="9"/>
      <c r="W67" s="8"/>
      <c r="Z67" s="48"/>
    </row>
    <row r="68" spans="1:26" ht="30" customHeight="1" x14ac:dyDescent="0.25">
      <c r="A68" s="34">
        <v>51</v>
      </c>
      <c r="B68" s="43"/>
      <c r="C68" s="44"/>
      <c r="D68" s="34"/>
      <c r="E68" s="45"/>
      <c r="F68" s="45"/>
      <c r="G68" s="46" t="e">
        <f t="shared" ca="1" si="11"/>
        <v>#REF!</v>
      </c>
      <c r="H68" s="46" t="e">
        <f t="shared" ca="1" si="12"/>
        <v>#REF!</v>
      </c>
      <c r="I68" s="46" t="e">
        <f t="shared" ca="1" si="13"/>
        <v>#REF!</v>
      </c>
      <c r="J68" s="46" t="e">
        <f t="shared" ca="1" si="14"/>
        <v>#REF!</v>
      </c>
      <c r="K68" s="46" t="e">
        <f t="shared" ca="1" si="15"/>
        <v>#REF!</v>
      </c>
      <c r="L68" s="46" t="e">
        <f t="shared" ca="1" si="16"/>
        <v>#REF!</v>
      </c>
      <c r="M68" s="46" t="e">
        <f t="shared" ca="1" si="17"/>
        <v>#REF!</v>
      </c>
      <c r="N68" s="46" t="e">
        <f t="shared" ca="1" si="18"/>
        <v>#REF!</v>
      </c>
      <c r="O68" s="47">
        <f t="shared" si="19"/>
        <v>1</v>
      </c>
      <c r="P68" s="47"/>
      <c r="Q68" s="48"/>
      <c r="R68" s="48"/>
      <c r="S68" s="49"/>
      <c r="T68" s="50"/>
      <c r="U68" s="9"/>
      <c r="W68" s="8"/>
      <c r="Z68" s="48"/>
    </row>
    <row r="69" spans="1:26" ht="30" customHeight="1" x14ac:dyDescent="0.25">
      <c r="A69" s="34">
        <v>52</v>
      </c>
      <c r="B69" s="43"/>
      <c r="C69" s="44"/>
      <c r="D69" s="34"/>
      <c r="E69" s="45"/>
      <c r="F69" s="45"/>
      <c r="G69" s="46" t="e">
        <f t="shared" ca="1" si="11"/>
        <v>#REF!</v>
      </c>
      <c r="H69" s="46" t="e">
        <f t="shared" ca="1" si="12"/>
        <v>#REF!</v>
      </c>
      <c r="I69" s="46" t="e">
        <f t="shared" ca="1" si="13"/>
        <v>#REF!</v>
      </c>
      <c r="J69" s="46" t="e">
        <f t="shared" ca="1" si="14"/>
        <v>#REF!</v>
      </c>
      <c r="K69" s="46" t="e">
        <f t="shared" ca="1" si="15"/>
        <v>#REF!</v>
      </c>
      <c r="L69" s="46" t="e">
        <f t="shared" ca="1" si="16"/>
        <v>#REF!</v>
      </c>
      <c r="M69" s="46" t="e">
        <f t="shared" ca="1" si="17"/>
        <v>#REF!</v>
      </c>
      <c r="N69" s="46" t="e">
        <f t="shared" ca="1" si="18"/>
        <v>#REF!</v>
      </c>
      <c r="O69" s="47">
        <f t="shared" si="19"/>
        <v>1</v>
      </c>
      <c r="P69" s="47"/>
      <c r="Q69" s="48"/>
      <c r="R69" s="48"/>
      <c r="S69" s="49"/>
      <c r="T69" s="50"/>
      <c r="U69" s="9"/>
      <c r="W69" s="8"/>
      <c r="Z69" s="48"/>
    </row>
    <row r="70" spans="1:26" ht="30" customHeight="1" x14ac:dyDescent="0.25">
      <c r="A70" s="34">
        <v>53</v>
      </c>
      <c r="B70" s="43"/>
      <c r="C70" s="44"/>
      <c r="D70" s="34"/>
      <c r="E70" s="45"/>
      <c r="F70" s="45"/>
      <c r="G70" s="46" t="e">
        <f t="shared" ca="1" si="11"/>
        <v>#REF!</v>
      </c>
      <c r="H70" s="46" t="e">
        <f t="shared" ca="1" si="12"/>
        <v>#REF!</v>
      </c>
      <c r="I70" s="46" t="e">
        <f t="shared" ca="1" si="13"/>
        <v>#REF!</v>
      </c>
      <c r="J70" s="46" t="e">
        <f t="shared" ca="1" si="14"/>
        <v>#REF!</v>
      </c>
      <c r="K70" s="46" t="e">
        <f t="shared" ca="1" si="15"/>
        <v>#REF!</v>
      </c>
      <c r="L70" s="46" t="e">
        <f t="shared" ca="1" si="16"/>
        <v>#REF!</v>
      </c>
      <c r="M70" s="46" t="e">
        <f t="shared" ca="1" si="17"/>
        <v>#REF!</v>
      </c>
      <c r="N70" s="46" t="e">
        <f t="shared" ca="1" si="18"/>
        <v>#REF!</v>
      </c>
      <c r="O70" s="47">
        <f t="shared" si="19"/>
        <v>1</v>
      </c>
      <c r="P70" s="47"/>
      <c r="Q70" s="48"/>
      <c r="R70" s="48"/>
      <c r="S70" s="49"/>
      <c r="T70" s="50"/>
      <c r="U70" s="9"/>
      <c r="W70" s="8"/>
      <c r="Z70" s="48"/>
    </row>
    <row r="71" spans="1:26" ht="30" customHeight="1" x14ac:dyDescent="0.25">
      <c r="A71" s="34">
        <v>54</v>
      </c>
      <c r="B71" s="43"/>
      <c r="C71" s="44"/>
      <c r="D71" s="34"/>
      <c r="E71" s="45"/>
      <c r="F71" s="45"/>
      <c r="G71" s="46" t="e">
        <f ca="1">SUMPRODUCT(--(WEEKDAY(ROW(INDIRECT($E66:$E181&amp;":"&amp;$F66:$F169)),1)=1))</f>
        <v>#REF!</v>
      </c>
      <c r="H71" s="46" t="e">
        <f ca="1">SUMPRODUCT(--(WEEKDAY(ROW(INDIRECT($E66:$E181&amp;":"&amp;$F66:$F169)),1)=2))</f>
        <v>#REF!</v>
      </c>
      <c r="I71" s="46" t="e">
        <f ca="1">SUMPRODUCT(--(WEEKDAY(ROW(INDIRECT($E66:$E181&amp;":"&amp;$F66:$F169)),1)=3))</f>
        <v>#REF!</v>
      </c>
      <c r="J71" s="46" t="e">
        <f ca="1">SUMPRODUCT(--(WEEKDAY(ROW(INDIRECT($E66:$E181&amp;":"&amp;$F66:$F169)),1)=4))</f>
        <v>#REF!</v>
      </c>
      <c r="K71" s="46" t="e">
        <f ca="1">SUMPRODUCT(--(WEEKDAY(ROW(INDIRECT($E66:$E181&amp;":"&amp;$F66:$F169)),1)=5))</f>
        <v>#REF!</v>
      </c>
      <c r="L71" s="46" t="e">
        <f ca="1">SUMPRODUCT(--(WEEKDAY(ROW(INDIRECT($E66:$E181&amp;":"&amp;$F66:$F169)),1)=6))</f>
        <v>#REF!</v>
      </c>
      <c r="M71" s="46" t="e">
        <f ca="1">SUMPRODUCT(--(WEEKDAY(ROW(INDIRECT($E66:$E181&amp;":"&amp;$F66:$F169)),1)=7))</f>
        <v>#REF!</v>
      </c>
      <c r="N71" s="46" t="e">
        <f t="shared" ca="1" si="18"/>
        <v>#REF!</v>
      </c>
      <c r="O71" s="47">
        <f t="shared" si="19"/>
        <v>1</v>
      </c>
      <c r="P71" s="47"/>
      <c r="Q71" s="48"/>
      <c r="R71" s="48"/>
      <c r="S71" s="49"/>
      <c r="T71" s="50"/>
      <c r="U71" s="9"/>
      <c r="W71" s="8"/>
      <c r="Z71" s="48"/>
    </row>
    <row r="72" spans="1:26" ht="30" customHeight="1" x14ac:dyDescent="0.25">
      <c r="A72" s="34">
        <v>55</v>
      </c>
      <c r="B72" s="43"/>
      <c r="C72" s="44"/>
      <c r="D72" s="34"/>
      <c r="E72" s="45"/>
      <c r="F72" s="45"/>
      <c r="G72" s="46" t="e">
        <f ca="1">SUMPRODUCT(--(WEEKDAY(ROW(INDIRECT($E67:$E182&amp;":"&amp;$F67:$F170)),1)=1))</f>
        <v>#REF!</v>
      </c>
      <c r="H72" s="46" t="e">
        <f ca="1">SUMPRODUCT(--(WEEKDAY(ROW(INDIRECT($E67:$E182&amp;":"&amp;$F67:$F170)),1)=2))</f>
        <v>#REF!</v>
      </c>
      <c r="I72" s="46" t="e">
        <f ca="1">SUMPRODUCT(--(WEEKDAY(ROW(INDIRECT($E67:$E182&amp;":"&amp;$F67:$F170)),1)=3))</f>
        <v>#REF!</v>
      </c>
      <c r="J72" s="46" t="e">
        <f ca="1">SUMPRODUCT(--(WEEKDAY(ROW(INDIRECT($E67:$E182&amp;":"&amp;$F67:$F170)),1)=4))</f>
        <v>#REF!</v>
      </c>
      <c r="K72" s="46" t="e">
        <f ca="1">SUMPRODUCT(--(WEEKDAY(ROW(INDIRECT($E67:$E182&amp;":"&amp;$F67:$F170)),1)=5))</f>
        <v>#REF!</v>
      </c>
      <c r="L72" s="46" t="e">
        <f ca="1">SUMPRODUCT(--(WEEKDAY(ROW(INDIRECT($E67:$E182&amp;":"&amp;$F67:$F170)),1)=6))</f>
        <v>#REF!</v>
      </c>
      <c r="M72" s="46" t="e">
        <f ca="1">SUMPRODUCT(--(WEEKDAY(ROW(INDIRECT($E67:$E182&amp;":"&amp;$F67:$F170)),1)=7))</f>
        <v>#REF!</v>
      </c>
      <c r="N72" s="46" t="e">
        <f t="shared" ca="1" si="18"/>
        <v>#REF!</v>
      </c>
      <c r="O72" s="47">
        <f t="shared" si="19"/>
        <v>1</v>
      </c>
      <c r="P72" s="47"/>
      <c r="Q72" s="48"/>
      <c r="R72" s="48"/>
      <c r="S72" s="49"/>
      <c r="T72" s="50"/>
      <c r="U72" s="9"/>
      <c r="W72" s="8"/>
      <c r="Z72" s="48"/>
    </row>
    <row r="73" spans="1:26" ht="30" customHeight="1" x14ac:dyDescent="0.25">
      <c r="A73" s="34">
        <v>56</v>
      </c>
      <c r="B73" s="43"/>
      <c r="C73" s="44"/>
      <c r="D73" s="34"/>
      <c r="E73" s="45"/>
      <c r="F73" s="45"/>
      <c r="G73" s="46" t="e">
        <f ca="1">SUMPRODUCT(--(WEEKDAY(ROW(INDIRECT($E68:$E183&amp;":"&amp;$F68:$F171)),1)=1))</f>
        <v>#REF!</v>
      </c>
      <c r="H73" s="46" t="e">
        <f ca="1">SUMPRODUCT(--(WEEKDAY(ROW(INDIRECT($E68:$E183&amp;":"&amp;$F68:$F171)),1)=2))</f>
        <v>#REF!</v>
      </c>
      <c r="I73" s="46" t="e">
        <f ca="1">SUMPRODUCT(--(WEEKDAY(ROW(INDIRECT($E68:$E183&amp;":"&amp;$F68:$F171)),1)=3))</f>
        <v>#REF!</v>
      </c>
      <c r="J73" s="46" t="e">
        <f ca="1">SUMPRODUCT(--(WEEKDAY(ROW(INDIRECT($E68:$E183&amp;":"&amp;$F68:$F171)),1)=4))</f>
        <v>#REF!</v>
      </c>
      <c r="K73" s="46" t="e">
        <f ca="1">SUMPRODUCT(--(WEEKDAY(ROW(INDIRECT($E68:$E183&amp;":"&amp;$F68:$F171)),1)=5))</f>
        <v>#REF!</v>
      </c>
      <c r="L73" s="46" t="e">
        <f ca="1">SUMPRODUCT(--(WEEKDAY(ROW(INDIRECT($E68:$E183&amp;":"&amp;$F68:$F171)),1)=6))</f>
        <v>#REF!</v>
      </c>
      <c r="M73" s="46" t="e">
        <f ca="1">SUMPRODUCT(--(WEEKDAY(ROW(INDIRECT($E68:$E183&amp;":"&amp;$F68:$F171)),1)=7))</f>
        <v>#REF!</v>
      </c>
      <c r="N73" s="46" t="e">
        <f t="shared" ca="1" si="18"/>
        <v>#REF!</v>
      </c>
      <c r="O73" s="47">
        <f t="shared" si="19"/>
        <v>1</v>
      </c>
      <c r="P73" s="47"/>
      <c r="Q73" s="48"/>
      <c r="R73" s="48"/>
      <c r="S73" s="49"/>
      <c r="T73" s="50"/>
      <c r="U73" s="9"/>
      <c r="W73" s="8"/>
      <c r="Z73" s="48"/>
    </row>
    <row r="74" spans="1:26" ht="30" customHeight="1" x14ac:dyDescent="0.25">
      <c r="A74" s="34">
        <v>57</v>
      </c>
      <c r="B74" s="43"/>
      <c r="C74" s="44"/>
      <c r="D74" s="34"/>
      <c r="E74" s="45"/>
      <c r="F74" s="45"/>
      <c r="G74" s="46" t="e">
        <f ca="1">SUMPRODUCT(--(WEEKDAY(ROW(INDIRECT($E69:$E184&amp;":"&amp;$F69:$F172)),1)=1))</f>
        <v>#REF!</v>
      </c>
      <c r="H74" s="46" t="e">
        <f ca="1">SUMPRODUCT(--(WEEKDAY(ROW(INDIRECT($E69:$E184&amp;":"&amp;$F69:$F172)),1)=2))</f>
        <v>#REF!</v>
      </c>
      <c r="I74" s="46" t="e">
        <f ca="1">SUMPRODUCT(--(WEEKDAY(ROW(INDIRECT($E69:$E184&amp;":"&amp;$F69:$F172)),1)=3))</f>
        <v>#REF!</v>
      </c>
      <c r="J74" s="46" t="e">
        <f ca="1">SUMPRODUCT(--(WEEKDAY(ROW(INDIRECT($E69:$E184&amp;":"&amp;$F69:$F172)),1)=4))</f>
        <v>#REF!</v>
      </c>
      <c r="K74" s="46" t="e">
        <f ca="1">SUMPRODUCT(--(WEEKDAY(ROW(INDIRECT($E69:$E184&amp;":"&amp;$F69:$F172)),1)=5))</f>
        <v>#REF!</v>
      </c>
      <c r="L74" s="46" t="e">
        <f ca="1">SUMPRODUCT(--(WEEKDAY(ROW(INDIRECT($E69:$E184&amp;":"&amp;$F69:$F172)),1)=6))</f>
        <v>#REF!</v>
      </c>
      <c r="M74" s="46" t="e">
        <f ca="1">SUMPRODUCT(--(WEEKDAY(ROW(INDIRECT($E69:$E184&amp;":"&amp;$F69:$F172)),1)=7))</f>
        <v>#REF!</v>
      </c>
      <c r="N74" s="46" t="e">
        <f t="shared" ca="1" si="18"/>
        <v>#REF!</v>
      </c>
      <c r="O74" s="47">
        <f t="shared" si="19"/>
        <v>1</v>
      </c>
      <c r="P74" s="47"/>
      <c r="Q74" s="48"/>
      <c r="R74" s="48"/>
      <c r="S74" s="49"/>
      <c r="T74" s="50"/>
      <c r="U74" s="9"/>
      <c r="W74" s="8"/>
      <c r="Z74" s="48"/>
    </row>
    <row r="75" spans="1:26" ht="30" customHeight="1" x14ac:dyDescent="0.25">
      <c r="A75" s="34">
        <v>58</v>
      </c>
      <c r="B75" s="43"/>
      <c r="C75" s="44"/>
      <c r="D75" s="34"/>
      <c r="E75" s="45"/>
      <c r="F75" s="45"/>
      <c r="G75" s="46" t="e">
        <f ca="1">SUMPRODUCT(--(WEEKDAY(ROW(INDIRECT($E70:$E185&amp;":"&amp;$F70:$F173)),1)=1))</f>
        <v>#REF!</v>
      </c>
      <c r="H75" s="46" t="e">
        <f ca="1">SUMPRODUCT(--(WEEKDAY(ROW(INDIRECT($E70:$E185&amp;":"&amp;$F70:$F173)),1)=2))</f>
        <v>#REF!</v>
      </c>
      <c r="I75" s="46" t="e">
        <f ca="1">SUMPRODUCT(--(WEEKDAY(ROW(INDIRECT($E70:$E185&amp;":"&amp;$F70:$F173)),1)=3))</f>
        <v>#REF!</v>
      </c>
      <c r="J75" s="46" t="e">
        <f ca="1">SUMPRODUCT(--(WEEKDAY(ROW(INDIRECT($E70:$E185&amp;":"&amp;$F70:$F173)),1)=4))</f>
        <v>#REF!</v>
      </c>
      <c r="K75" s="46" t="e">
        <f ca="1">SUMPRODUCT(--(WEEKDAY(ROW(INDIRECT($E70:$E185&amp;":"&amp;$F70:$F173)),1)=5))</f>
        <v>#REF!</v>
      </c>
      <c r="L75" s="46" t="e">
        <f ca="1">SUMPRODUCT(--(WEEKDAY(ROW(INDIRECT($E70:$E185&amp;":"&amp;$F70:$F173)),1)=6))</f>
        <v>#REF!</v>
      </c>
      <c r="M75" s="46" t="e">
        <f ca="1">SUMPRODUCT(--(WEEKDAY(ROW(INDIRECT($E70:$E185&amp;":"&amp;$F70:$F173)),1)=7))</f>
        <v>#REF!</v>
      </c>
      <c r="N75" s="46" t="e">
        <f t="shared" ca="1" si="18"/>
        <v>#REF!</v>
      </c>
      <c r="O75" s="47">
        <f t="shared" si="19"/>
        <v>1</v>
      </c>
      <c r="P75" s="47"/>
      <c r="Q75" s="48"/>
      <c r="R75" s="48"/>
      <c r="S75" s="49"/>
      <c r="T75" s="50"/>
      <c r="U75" s="9"/>
      <c r="W75" s="8"/>
      <c r="Z75" s="48"/>
    </row>
    <row r="76" spans="1:26" ht="30" customHeight="1" x14ac:dyDescent="0.25">
      <c r="A76" s="34">
        <v>59</v>
      </c>
      <c r="B76" s="43"/>
      <c r="C76" s="44"/>
      <c r="D76" s="34"/>
      <c r="E76" s="45"/>
      <c r="F76" s="45"/>
      <c r="G76" s="46" t="e">
        <f t="shared" ref="G76:G85" ca="1" si="20">SUMPRODUCT(--(WEEKDAY(ROW(INDIRECT($E71:$E186&amp;":"&amp;$F71:$F181)),1)=1))</f>
        <v>#REF!</v>
      </c>
      <c r="H76" s="46" t="e">
        <f t="shared" ref="H76:H85" ca="1" si="21">SUMPRODUCT(--(WEEKDAY(ROW(INDIRECT($E71:$E186&amp;":"&amp;$F71:$F181)),1)=2))</f>
        <v>#REF!</v>
      </c>
      <c r="I76" s="46" t="e">
        <f t="shared" ref="I76:I85" ca="1" si="22">SUMPRODUCT(--(WEEKDAY(ROW(INDIRECT($E71:$E186&amp;":"&amp;$F71:$F181)),1)=3))</f>
        <v>#REF!</v>
      </c>
      <c r="J76" s="46" t="e">
        <f t="shared" ref="J76:J85" ca="1" si="23">SUMPRODUCT(--(WEEKDAY(ROW(INDIRECT($E71:$E186&amp;":"&amp;$F71:$F181)),1)=4))</f>
        <v>#REF!</v>
      </c>
      <c r="K76" s="46" t="e">
        <f t="shared" ref="K76:K85" ca="1" si="24">SUMPRODUCT(--(WEEKDAY(ROW(INDIRECT($E71:$E186&amp;":"&amp;$F71:$F181)),1)=5))</f>
        <v>#REF!</v>
      </c>
      <c r="L76" s="46" t="e">
        <f t="shared" ref="L76:L85" ca="1" si="25">SUMPRODUCT(--(WEEKDAY(ROW(INDIRECT($E71:$E186&amp;":"&amp;$F71:$F181)),1)=6))</f>
        <v>#REF!</v>
      </c>
      <c r="M76" s="46" t="e">
        <f t="shared" ref="M76:M85" ca="1" si="26">SUMPRODUCT(--(WEEKDAY(ROW(INDIRECT($E71:$E186&amp;":"&amp;$F71:$F181)),1)=7))</f>
        <v>#REF!</v>
      </c>
      <c r="N76" s="46" t="e">
        <f t="shared" ca="1" si="18"/>
        <v>#REF!</v>
      </c>
      <c r="O76" s="47">
        <f t="shared" si="19"/>
        <v>1</v>
      </c>
      <c r="P76" s="47"/>
      <c r="Q76" s="48"/>
      <c r="R76" s="48"/>
      <c r="S76" s="49"/>
      <c r="T76" s="50"/>
      <c r="U76" s="9"/>
      <c r="W76" s="8"/>
      <c r="Z76" s="48"/>
    </row>
    <row r="77" spans="1:26" ht="30" customHeight="1" x14ac:dyDescent="0.25">
      <c r="A77" s="34">
        <v>60</v>
      </c>
      <c r="B77" s="43"/>
      <c r="C77" s="44"/>
      <c r="D77" s="34"/>
      <c r="E77" s="45"/>
      <c r="F77" s="45"/>
      <c r="G77" s="46" t="e">
        <f t="shared" ca="1" si="20"/>
        <v>#REF!</v>
      </c>
      <c r="H77" s="46" t="e">
        <f t="shared" ca="1" si="21"/>
        <v>#REF!</v>
      </c>
      <c r="I77" s="46" t="e">
        <f t="shared" ca="1" si="22"/>
        <v>#REF!</v>
      </c>
      <c r="J77" s="46" t="e">
        <f t="shared" ca="1" si="23"/>
        <v>#REF!</v>
      </c>
      <c r="K77" s="46" t="e">
        <f t="shared" ca="1" si="24"/>
        <v>#REF!</v>
      </c>
      <c r="L77" s="46" t="e">
        <f t="shared" ca="1" si="25"/>
        <v>#REF!</v>
      </c>
      <c r="M77" s="46" t="e">
        <f t="shared" ca="1" si="26"/>
        <v>#REF!</v>
      </c>
      <c r="N77" s="46" t="e">
        <f t="shared" ca="1" si="18"/>
        <v>#REF!</v>
      </c>
      <c r="O77" s="47">
        <f t="shared" si="19"/>
        <v>1</v>
      </c>
      <c r="P77" s="47"/>
      <c r="Q77" s="48"/>
      <c r="R77" s="48"/>
      <c r="S77" s="49"/>
      <c r="T77" s="50"/>
      <c r="U77" s="9"/>
      <c r="W77" s="8"/>
      <c r="Z77" s="48"/>
    </row>
    <row r="78" spans="1:26" ht="30" customHeight="1" x14ac:dyDescent="0.25">
      <c r="A78" s="34">
        <v>61</v>
      </c>
      <c r="B78" s="43"/>
      <c r="C78" s="44"/>
      <c r="D78" s="34"/>
      <c r="E78" s="45"/>
      <c r="F78" s="45"/>
      <c r="G78" s="46" t="e">
        <f t="shared" ca="1" si="20"/>
        <v>#REF!</v>
      </c>
      <c r="H78" s="46" t="e">
        <f t="shared" ca="1" si="21"/>
        <v>#REF!</v>
      </c>
      <c r="I78" s="46" t="e">
        <f t="shared" ca="1" si="22"/>
        <v>#REF!</v>
      </c>
      <c r="J78" s="46" t="e">
        <f t="shared" ca="1" si="23"/>
        <v>#REF!</v>
      </c>
      <c r="K78" s="46" t="e">
        <f t="shared" ca="1" si="24"/>
        <v>#REF!</v>
      </c>
      <c r="L78" s="46" t="e">
        <f t="shared" ca="1" si="25"/>
        <v>#REF!</v>
      </c>
      <c r="M78" s="46" t="e">
        <f t="shared" ca="1" si="26"/>
        <v>#REF!</v>
      </c>
      <c r="N78" s="46" t="e">
        <f t="shared" ca="1" si="18"/>
        <v>#REF!</v>
      </c>
      <c r="O78" s="47">
        <f t="shared" si="19"/>
        <v>1</v>
      </c>
      <c r="P78" s="47"/>
      <c r="Q78" s="48"/>
      <c r="R78" s="48"/>
      <c r="S78" s="49"/>
      <c r="T78" s="50"/>
      <c r="U78" s="9"/>
      <c r="W78" s="8"/>
      <c r="Z78" s="48"/>
    </row>
    <row r="79" spans="1:26" ht="30" customHeight="1" x14ac:dyDescent="0.25">
      <c r="A79" s="34">
        <v>62</v>
      </c>
      <c r="B79" s="43"/>
      <c r="C79" s="44"/>
      <c r="D79" s="34"/>
      <c r="E79" s="45"/>
      <c r="F79" s="45"/>
      <c r="G79" s="46" t="e">
        <f t="shared" ca="1" si="20"/>
        <v>#REF!</v>
      </c>
      <c r="H79" s="46" t="e">
        <f t="shared" ca="1" si="21"/>
        <v>#REF!</v>
      </c>
      <c r="I79" s="46" t="e">
        <f t="shared" ca="1" si="22"/>
        <v>#REF!</v>
      </c>
      <c r="J79" s="46" t="e">
        <f t="shared" ca="1" si="23"/>
        <v>#REF!</v>
      </c>
      <c r="K79" s="46" t="e">
        <f t="shared" ca="1" si="24"/>
        <v>#REF!</v>
      </c>
      <c r="L79" s="46" t="e">
        <f t="shared" ca="1" si="25"/>
        <v>#REF!</v>
      </c>
      <c r="M79" s="46" t="e">
        <f t="shared" ca="1" si="26"/>
        <v>#REF!</v>
      </c>
      <c r="N79" s="46" t="e">
        <f t="shared" ca="1" si="18"/>
        <v>#REF!</v>
      </c>
      <c r="O79" s="47">
        <f t="shared" si="19"/>
        <v>1</v>
      </c>
      <c r="P79" s="47"/>
      <c r="Q79" s="48"/>
      <c r="R79" s="48"/>
      <c r="S79" s="49"/>
      <c r="T79" s="50"/>
      <c r="U79" s="9"/>
      <c r="W79" s="8"/>
      <c r="Z79" s="48"/>
    </row>
    <row r="80" spans="1:26" ht="30" customHeight="1" x14ac:dyDescent="0.25">
      <c r="A80" s="34">
        <v>63</v>
      </c>
      <c r="B80" s="43"/>
      <c r="C80" s="44"/>
      <c r="D80" s="34"/>
      <c r="E80" s="45"/>
      <c r="F80" s="45"/>
      <c r="G80" s="46" t="e">
        <f t="shared" ca="1" si="20"/>
        <v>#REF!</v>
      </c>
      <c r="H80" s="46" t="e">
        <f t="shared" ca="1" si="21"/>
        <v>#REF!</v>
      </c>
      <c r="I80" s="46" t="e">
        <f t="shared" ca="1" si="22"/>
        <v>#REF!</v>
      </c>
      <c r="J80" s="46" t="e">
        <f t="shared" ca="1" si="23"/>
        <v>#REF!</v>
      </c>
      <c r="K80" s="46" t="e">
        <f t="shared" ca="1" si="24"/>
        <v>#REF!</v>
      </c>
      <c r="L80" s="46" t="e">
        <f t="shared" ca="1" si="25"/>
        <v>#REF!</v>
      </c>
      <c r="M80" s="46" t="e">
        <f t="shared" ca="1" si="26"/>
        <v>#REF!</v>
      </c>
      <c r="N80" s="46" t="e">
        <f t="shared" ca="1" si="18"/>
        <v>#REF!</v>
      </c>
      <c r="O80" s="47">
        <f t="shared" si="19"/>
        <v>1</v>
      </c>
      <c r="P80" s="47"/>
      <c r="Q80" s="48"/>
      <c r="R80" s="48"/>
      <c r="S80" s="49"/>
      <c r="T80" s="50"/>
      <c r="U80" s="9"/>
      <c r="W80" s="8"/>
      <c r="Z80" s="48"/>
    </row>
    <row r="81" spans="1:26" ht="30" customHeight="1" x14ac:dyDescent="0.25">
      <c r="A81" s="34">
        <v>64</v>
      </c>
      <c r="B81" s="43"/>
      <c r="C81" s="44"/>
      <c r="D81" s="34"/>
      <c r="E81" s="45"/>
      <c r="F81" s="45"/>
      <c r="G81" s="46" t="e">
        <f t="shared" ca="1" si="20"/>
        <v>#REF!</v>
      </c>
      <c r="H81" s="46" t="e">
        <f t="shared" ca="1" si="21"/>
        <v>#REF!</v>
      </c>
      <c r="I81" s="46" t="e">
        <f t="shared" ca="1" si="22"/>
        <v>#REF!</v>
      </c>
      <c r="J81" s="46" t="e">
        <f t="shared" ca="1" si="23"/>
        <v>#REF!</v>
      </c>
      <c r="K81" s="46" t="e">
        <f t="shared" ca="1" si="24"/>
        <v>#REF!</v>
      </c>
      <c r="L81" s="46" t="e">
        <f t="shared" ca="1" si="25"/>
        <v>#REF!</v>
      </c>
      <c r="M81" s="46" t="e">
        <f t="shared" ca="1" si="26"/>
        <v>#REF!</v>
      </c>
      <c r="N81" s="46" t="e">
        <f t="shared" ca="1" si="18"/>
        <v>#REF!</v>
      </c>
      <c r="O81" s="47">
        <f t="shared" si="19"/>
        <v>1</v>
      </c>
      <c r="P81" s="47"/>
      <c r="Q81" s="48"/>
      <c r="R81" s="48"/>
      <c r="S81" s="49"/>
      <c r="T81" s="50"/>
      <c r="U81" s="9"/>
      <c r="W81" s="8"/>
      <c r="Z81" s="48"/>
    </row>
    <row r="82" spans="1:26" ht="30" customHeight="1" x14ac:dyDescent="0.25">
      <c r="A82" s="34">
        <v>65</v>
      </c>
      <c r="B82" s="43"/>
      <c r="C82" s="44"/>
      <c r="D82" s="34"/>
      <c r="E82" s="45"/>
      <c r="F82" s="45"/>
      <c r="G82" s="46" t="e">
        <f t="shared" ca="1" si="20"/>
        <v>#REF!</v>
      </c>
      <c r="H82" s="46" t="e">
        <f t="shared" ca="1" si="21"/>
        <v>#REF!</v>
      </c>
      <c r="I82" s="46" t="e">
        <f t="shared" ca="1" si="22"/>
        <v>#REF!</v>
      </c>
      <c r="J82" s="46" t="e">
        <f t="shared" ca="1" si="23"/>
        <v>#REF!</v>
      </c>
      <c r="K82" s="46" t="e">
        <f t="shared" ca="1" si="24"/>
        <v>#REF!</v>
      </c>
      <c r="L82" s="46" t="e">
        <f t="shared" ca="1" si="25"/>
        <v>#REF!</v>
      </c>
      <c r="M82" s="46" t="e">
        <f t="shared" ca="1" si="26"/>
        <v>#REF!</v>
      </c>
      <c r="N82" s="46" t="e">
        <f t="shared" ca="1" si="18"/>
        <v>#REF!</v>
      </c>
      <c r="O82" s="47">
        <f t="shared" si="19"/>
        <v>1</v>
      </c>
      <c r="P82" s="47"/>
      <c r="Q82" s="48"/>
      <c r="R82" s="48"/>
      <c r="S82" s="49"/>
      <c r="T82" s="50"/>
      <c r="U82" s="9"/>
      <c r="W82" s="8"/>
      <c r="Z82" s="48"/>
    </row>
    <row r="83" spans="1:26" ht="30" customHeight="1" x14ac:dyDescent="0.25">
      <c r="A83" s="34">
        <v>66</v>
      </c>
      <c r="B83" s="43"/>
      <c r="C83" s="44"/>
      <c r="D83" s="34"/>
      <c r="E83" s="45"/>
      <c r="F83" s="45"/>
      <c r="G83" s="46" t="e">
        <f t="shared" ca="1" si="20"/>
        <v>#REF!</v>
      </c>
      <c r="H83" s="46" t="e">
        <f t="shared" ca="1" si="21"/>
        <v>#REF!</v>
      </c>
      <c r="I83" s="46" t="e">
        <f t="shared" ca="1" si="22"/>
        <v>#REF!</v>
      </c>
      <c r="J83" s="46" t="e">
        <f t="shared" ca="1" si="23"/>
        <v>#REF!</v>
      </c>
      <c r="K83" s="46" t="e">
        <f t="shared" ca="1" si="24"/>
        <v>#REF!</v>
      </c>
      <c r="L83" s="46" t="e">
        <f t="shared" ca="1" si="25"/>
        <v>#REF!</v>
      </c>
      <c r="M83" s="46" t="e">
        <f t="shared" ca="1" si="26"/>
        <v>#REF!</v>
      </c>
      <c r="N83" s="46" t="e">
        <f t="shared" ca="1" si="18"/>
        <v>#REF!</v>
      </c>
      <c r="O83" s="47">
        <f t="shared" si="19"/>
        <v>1</v>
      </c>
      <c r="P83" s="47"/>
      <c r="Q83" s="48"/>
      <c r="R83" s="48"/>
      <c r="S83" s="49"/>
      <c r="T83" s="50"/>
      <c r="U83" s="9"/>
      <c r="W83" s="8"/>
      <c r="Z83" s="48"/>
    </row>
    <row r="84" spans="1:26" ht="30" customHeight="1" x14ac:dyDescent="0.25">
      <c r="A84" s="34">
        <v>67</v>
      </c>
      <c r="B84" s="43"/>
      <c r="C84" s="44"/>
      <c r="D84" s="34"/>
      <c r="E84" s="45"/>
      <c r="F84" s="45"/>
      <c r="G84" s="46" t="e">
        <f t="shared" ca="1" si="20"/>
        <v>#REF!</v>
      </c>
      <c r="H84" s="46" t="e">
        <f t="shared" ca="1" si="21"/>
        <v>#REF!</v>
      </c>
      <c r="I84" s="46" t="e">
        <f t="shared" ca="1" si="22"/>
        <v>#REF!</v>
      </c>
      <c r="J84" s="46" t="e">
        <f t="shared" ca="1" si="23"/>
        <v>#REF!</v>
      </c>
      <c r="K84" s="46" t="e">
        <f t="shared" ca="1" si="24"/>
        <v>#REF!</v>
      </c>
      <c r="L84" s="46" t="e">
        <f t="shared" ca="1" si="25"/>
        <v>#REF!</v>
      </c>
      <c r="M84" s="46" t="e">
        <f t="shared" ca="1" si="26"/>
        <v>#REF!</v>
      </c>
      <c r="N84" s="46" t="e">
        <f t="shared" ca="1" si="18"/>
        <v>#REF!</v>
      </c>
      <c r="O84" s="47">
        <f t="shared" si="19"/>
        <v>1</v>
      </c>
      <c r="P84" s="47"/>
      <c r="Q84" s="48"/>
      <c r="R84" s="48"/>
      <c r="S84" s="49"/>
      <c r="T84" s="50"/>
      <c r="U84" s="9"/>
      <c r="W84" s="8"/>
      <c r="Z84" s="48"/>
    </row>
    <row r="85" spans="1:26" ht="30" customHeight="1" x14ac:dyDescent="0.25">
      <c r="A85" s="34">
        <v>68</v>
      </c>
      <c r="B85" s="43"/>
      <c r="C85" s="44"/>
      <c r="D85" s="34"/>
      <c r="E85" s="45"/>
      <c r="F85" s="45"/>
      <c r="G85" s="46" t="e">
        <f t="shared" ca="1" si="20"/>
        <v>#REF!</v>
      </c>
      <c r="H85" s="46" t="e">
        <f t="shared" ca="1" si="21"/>
        <v>#REF!</v>
      </c>
      <c r="I85" s="46" t="e">
        <f t="shared" ca="1" si="22"/>
        <v>#REF!</v>
      </c>
      <c r="J85" s="46" t="e">
        <f t="shared" ca="1" si="23"/>
        <v>#REF!</v>
      </c>
      <c r="K85" s="46" t="e">
        <f t="shared" ca="1" si="24"/>
        <v>#REF!</v>
      </c>
      <c r="L85" s="46" t="e">
        <f t="shared" ca="1" si="25"/>
        <v>#REF!</v>
      </c>
      <c r="M85" s="46" t="e">
        <f t="shared" ca="1" si="26"/>
        <v>#REF!</v>
      </c>
      <c r="N85" s="46" t="e">
        <f t="shared" ca="1" si="18"/>
        <v>#REF!</v>
      </c>
      <c r="O85" s="47">
        <f t="shared" si="19"/>
        <v>1</v>
      </c>
      <c r="P85" s="47"/>
      <c r="Q85" s="48"/>
      <c r="R85" s="48"/>
      <c r="S85" s="49"/>
      <c r="T85" s="50"/>
      <c r="U85" s="9"/>
      <c r="W85" s="8"/>
      <c r="Z85" s="48"/>
    </row>
    <row r="86" spans="1:26" ht="30" customHeight="1" x14ac:dyDescent="0.25">
      <c r="A86" s="34">
        <v>40</v>
      </c>
      <c r="B86" s="43"/>
      <c r="C86" s="44"/>
      <c r="D86" s="34"/>
      <c r="E86" s="45"/>
      <c r="F86" s="45"/>
      <c r="G86" s="46" t="e">
        <f ca="1">SUMPRODUCT(--(WEEKDAY(ROW(INDIRECT($E52:$E160&amp;":"&amp;$F52:$F155)),1)=1))</f>
        <v>#REF!</v>
      </c>
      <c r="H86" s="46" t="e">
        <f ca="1">SUMPRODUCT(--(WEEKDAY(ROW(INDIRECT($E52:$E160&amp;":"&amp;$F52:$F155)),1)=2))</f>
        <v>#REF!</v>
      </c>
      <c r="I86" s="46" t="e">
        <f ca="1">SUMPRODUCT(--(WEEKDAY(ROW(INDIRECT($E52:$E160&amp;":"&amp;$F52:$F155)),1)=3))</f>
        <v>#REF!</v>
      </c>
      <c r="J86" s="46" t="e">
        <f ca="1">SUMPRODUCT(--(WEEKDAY(ROW(INDIRECT($E52:$E160&amp;":"&amp;$F52:$F155)),1)=4))</f>
        <v>#REF!</v>
      </c>
      <c r="K86" s="46" t="e">
        <f ca="1">SUMPRODUCT(--(WEEKDAY(ROW(INDIRECT($E52:$E160&amp;":"&amp;$F52:$F155)),1)=5))</f>
        <v>#REF!</v>
      </c>
      <c r="L86" s="46" t="e">
        <f ca="1">SUMPRODUCT(--(WEEKDAY(ROW(INDIRECT($E52:$E160&amp;":"&amp;$F52:$F155)),1)=6))</f>
        <v>#REF!</v>
      </c>
      <c r="M86" s="46" t="e">
        <f ca="1">SUMPRODUCT(--(WEEKDAY(ROW(INDIRECT($E52:$E160&amp;":"&amp;$F52:$F155)),1)=7))</f>
        <v>#REF!</v>
      </c>
      <c r="N86" s="46" t="e">
        <f t="shared" ca="1" si="9"/>
        <v>#REF!</v>
      </c>
      <c r="O86" s="47">
        <f t="shared" si="10"/>
        <v>1</v>
      </c>
      <c r="P86" s="47"/>
      <c r="Q86" s="48"/>
      <c r="R86" s="48"/>
      <c r="S86" s="49"/>
      <c r="T86" s="50" t="s">
        <v>39</v>
      </c>
      <c r="U86" s="9" t="s">
        <v>59</v>
      </c>
      <c r="W86" s="8"/>
      <c r="Z86" s="48" t="s">
        <v>105</v>
      </c>
    </row>
    <row r="87" spans="1:26" ht="31.5" customHeight="1" x14ac:dyDescent="0.25">
      <c r="A87" s="122" t="s">
        <v>62</v>
      </c>
      <c r="B87" s="123"/>
      <c r="C87" s="123"/>
      <c r="D87" s="123"/>
      <c r="E87" s="123"/>
      <c r="F87" s="124"/>
      <c r="G87" s="51"/>
      <c r="H87" s="51"/>
      <c r="I87" s="51"/>
      <c r="J87" s="51"/>
      <c r="K87" s="51"/>
      <c r="L87" s="51"/>
      <c r="M87" s="51"/>
      <c r="N87" s="51"/>
      <c r="O87" s="47"/>
      <c r="P87" s="35"/>
      <c r="Q87" s="40"/>
      <c r="R87" s="35"/>
      <c r="S87" s="41"/>
      <c r="T87" s="2"/>
      <c r="U87" s="7"/>
    </row>
    <row r="88" spans="1:26" ht="31.5" customHeight="1" x14ac:dyDescent="0.25">
      <c r="A88" s="53" t="s">
        <v>63</v>
      </c>
      <c r="B88" s="53"/>
      <c r="C88" s="54" t="s">
        <v>64</v>
      </c>
      <c r="D88" s="54"/>
      <c r="E88" s="54"/>
      <c r="F88" s="54"/>
      <c r="G88" s="42" t="s">
        <v>31</v>
      </c>
      <c r="H88" s="42" t="s">
        <v>32</v>
      </c>
      <c r="I88" s="42" t="s">
        <v>33</v>
      </c>
      <c r="J88" s="42" t="s">
        <v>34</v>
      </c>
      <c r="K88" s="42" t="s">
        <v>35</v>
      </c>
      <c r="L88" s="42" t="s">
        <v>36</v>
      </c>
      <c r="M88" s="42" t="s">
        <v>37</v>
      </c>
      <c r="N88" s="42" t="s">
        <v>38</v>
      </c>
      <c r="O88" s="54"/>
      <c r="P88" s="54"/>
      <c r="Q88" s="54"/>
      <c r="R88" s="53"/>
      <c r="S88" s="54"/>
      <c r="T88" s="2"/>
      <c r="U88" s="7"/>
    </row>
    <row r="89" spans="1:26" ht="30" customHeight="1" x14ac:dyDescent="0.25">
      <c r="A89" s="34">
        <v>1</v>
      </c>
      <c r="B89" s="43" t="s">
        <v>196</v>
      </c>
      <c r="C89" s="44" t="s">
        <v>197</v>
      </c>
      <c r="D89" s="34" t="s">
        <v>198</v>
      </c>
      <c r="E89" s="45">
        <v>46164</v>
      </c>
      <c r="F89" s="45">
        <v>46164</v>
      </c>
      <c r="G89" s="46">
        <f ca="1">SUMPRODUCT(--(WEEKDAY(ROW(INDIRECT($E45:$E143&amp;":"&amp;$F45:$F120)),1)=1))</f>
        <v>0</v>
      </c>
      <c r="H89" s="46">
        <f ca="1">SUMPRODUCT(--(WEEKDAY(ROW(INDIRECT($E45:$E143&amp;":"&amp;$F45:$F120)),1)=2))</f>
        <v>0</v>
      </c>
      <c r="I89" s="46">
        <f ca="1">SUMPRODUCT(--(WEEKDAY(ROW(INDIRECT($E45:$E143&amp;":"&amp;$F45:$F120)),1)=3))</f>
        <v>0</v>
      </c>
      <c r="J89" s="46">
        <f ca="1">SUMPRODUCT(--(WEEKDAY(ROW(INDIRECT($E45:$E143&amp;":"&amp;$F45:$F120)),1)=4))</f>
        <v>0</v>
      </c>
      <c r="K89" s="46">
        <f ca="1">SUMPRODUCT(--(WEEKDAY(ROW(INDIRECT($E45:$E143&amp;":"&amp;$F45:$F120)),1)=5))</f>
        <v>0</v>
      </c>
      <c r="L89" s="46">
        <f ca="1">SUMPRODUCT(--(WEEKDAY(ROW(INDIRECT($E45:$E143&amp;":"&amp;$F45:$F120)),1)=6))</f>
        <v>1</v>
      </c>
      <c r="M89" s="46">
        <f ca="1">SUMPRODUCT(--(WEEKDAY(ROW(INDIRECT($E45:$E143&amp;":"&amp;$F45:$F120)),1)=7))</f>
        <v>0</v>
      </c>
      <c r="N89" s="46">
        <f t="shared" ref="N89:N113" ca="1" si="27">SUM(H89:M89)</f>
        <v>1</v>
      </c>
      <c r="O89" s="47">
        <f t="shared" ref="O89:O113" si="28">F89-E89+1</f>
        <v>1</v>
      </c>
      <c r="P89" s="47"/>
      <c r="Q89" s="48"/>
      <c r="R89" s="48"/>
      <c r="S89" s="49"/>
      <c r="T89" s="50" t="s">
        <v>39</v>
      </c>
      <c r="U89" s="9" t="s">
        <v>40</v>
      </c>
      <c r="V89" s="8" t="s">
        <v>65</v>
      </c>
      <c r="W89" s="8"/>
      <c r="Z89" s="48" t="s">
        <v>108</v>
      </c>
    </row>
    <row r="90" spans="1:26" ht="30" customHeight="1" x14ac:dyDescent="0.25">
      <c r="A90" s="34"/>
      <c r="B90" s="43" t="s">
        <v>199</v>
      </c>
      <c r="C90" s="44" t="s">
        <v>200</v>
      </c>
      <c r="D90" s="34" t="s">
        <v>201</v>
      </c>
      <c r="E90" s="45">
        <v>46162</v>
      </c>
      <c r="F90" s="45">
        <v>46162</v>
      </c>
      <c r="G90" s="46">
        <f ca="1">SUMPRODUCT(--(WEEKDAY(ROW(INDIRECT($E46:$E154&amp;":"&amp;$F46:$F121)),1)=1))</f>
        <v>0</v>
      </c>
      <c r="H90" s="46">
        <f ca="1">SUMPRODUCT(--(WEEKDAY(ROW(INDIRECT($E46:$E154&amp;":"&amp;$F46:$F121)),1)=2))</f>
        <v>0</v>
      </c>
      <c r="I90" s="46">
        <f ca="1">SUMPRODUCT(--(WEEKDAY(ROW(INDIRECT($E46:$E154&amp;":"&amp;$F46:$F121)),1)=3))</f>
        <v>0</v>
      </c>
      <c r="J90" s="46">
        <f ca="1">SUMPRODUCT(--(WEEKDAY(ROW(INDIRECT($E46:$E154&amp;":"&amp;$F46:$F121)),1)=4))</f>
        <v>1</v>
      </c>
      <c r="K90" s="46">
        <f ca="1">SUMPRODUCT(--(WEEKDAY(ROW(INDIRECT($E46:$E154&amp;":"&amp;$F46:$F121)),1)=5))</f>
        <v>0</v>
      </c>
      <c r="L90" s="46">
        <f ca="1">SUMPRODUCT(--(WEEKDAY(ROW(INDIRECT($E46:$E154&amp;":"&amp;$F46:$F121)),1)=6))</f>
        <v>0</v>
      </c>
      <c r="M90" s="46">
        <f ca="1">SUMPRODUCT(--(WEEKDAY(ROW(INDIRECT($E46:$E154&amp;":"&amp;$F46:$F121)),1)=7))</f>
        <v>0</v>
      </c>
      <c r="N90" s="46">
        <f t="shared" ca="1" si="27"/>
        <v>1</v>
      </c>
      <c r="O90" s="47">
        <f t="shared" si="28"/>
        <v>1</v>
      </c>
      <c r="P90" s="47"/>
      <c r="Q90" s="48"/>
      <c r="R90" s="48"/>
      <c r="S90" s="49"/>
      <c r="T90" s="50"/>
      <c r="U90" s="9"/>
      <c r="W90" s="8"/>
      <c r="Z90" s="48"/>
    </row>
    <row r="91" spans="1:26" ht="30" customHeight="1" x14ac:dyDescent="0.25">
      <c r="A91" s="34"/>
      <c r="B91" s="43" t="s">
        <v>116</v>
      </c>
      <c r="C91" s="44" t="s">
        <v>117</v>
      </c>
      <c r="D91" s="34" t="s">
        <v>118</v>
      </c>
      <c r="E91" s="45">
        <v>46168</v>
      </c>
      <c r="F91" s="45">
        <v>46168</v>
      </c>
      <c r="G91" s="46">
        <f ca="1">SUMPRODUCT(--(WEEKDAY(ROW(INDIRECT($E86:$E155&amp;":"&amp;$F86:$F140)),1)=1))</f>
        <v>0</v>
      </c>
      <c r="H91" s="46">
        <f ca="1">SUMPRODUCT(--(WEEKDAY(ROW(INDIRECT($E86:$E155&amp;":"&amp;$F86:$F140)),1)=2))</f>
        <v>0</v>
      </c>
      <c r="I91" s="46">
        <f ca="1">SUMPRODUCT(--(WEEKDAY(ROW(INDIRECT($E86:$E155&amp;":"&amp;$F86:$F140)),1)=3))</f>
        <v>1</v>
      </c>
      <c r="J91" s="46">
        <f ca="1">SUMPRODUCT(--(WEEKDAY(ROW(INDIRECT($E86:$E155&amp;":"&amp;$F86:$F140)),1)=4))</f>
        <v>0</v>
      </c>
      <c r="K91" s="46">
        <f ca="1">SUMPRODUCT(--(WEEKDAY(ROW(INDIRECT($E86:$E155&amp;":"&amp;$F86:$F140)),1)=5))</f>
        <v>0</v>
      </c>
      <c r="L91" s="46">
        <f ca="1">SUMPRODUCT(--(WEEKDAY(ROW(INDIRECT($E86:$E155&amp;":"&amp;$F86:$F140)),1)=6))</f>
        <v>0</v>
      </c>
      <c r="M91" s="46">
        <f ca="1">SUMPRODUCT(--(WEEKDAY(ROW(INDIRECT($E86:$E155&amp;":"&amp;$F86:$F140)),1)=7))</f>
        <v>0</v>
      </c>
      <c r="N91" s="46">
        <f t="shared" ca="1" si="27"/>
        <v>1</v>
      </c>
      <c r="O91" s="47">
        <f t="shared" si="28"/>
        <v>1</v>
      </c>
      <c r="P91" s="47"/>
      <c r="Q91" s="48"/>
      <c r="R91" s="48"/>
      <c r="S91" s="49"/>
      <c r="T91" s="50"/>
      <c r="U91" s="9"/>
      <c r="W91" s="8"/>
      <c r="Z91" s="48"/>
    </row>
    <row r="92" spans="1:26" ht="30" customHeight="1" x14ac:dyDescent="0.25">
      <c r="A92" s="34"/>
      <c r="B92" s="43" t="s">
        <v>119</v>
      </c>
      <c r="C92" s="44" t="s">
        <v>120</v>
      </c>
      <c r="D92" s="34" t="s">
        <v>121</v>
      </c>
      <c r="E92" s="45">
        <v>46167</v>
      </c>
      <c r="F92" s="45">
        <v>46167</v>
      </c>
      <c r="G92" s="46">
        <f ca="1">SUMPRODUCT(--(WEEKDAY(ROW(INDIRECT($E87:$E156&amp;":"&amp;$F87:$F141)),1)=1))</f>
        <v>0</v>
      </c>
      <c r="H92" s="46">
        <f ca="1">SUMPRODUCT(--(WEEKDAY(ROW(INDIRECT($E87:$E156&amp;":"&amp;$F87:$F141)),1)=2))</f>
        <v>1</v>
      </c>
      <c r="I92" s="46">
        <f ca="1">SUMPRODUCT(--(WEEKDAY(ROW(INDIRECT($E87:$E156&amp;":"&amp;$F87:$F141)),1)=3))</f>
        <v>0</v>
      </c>
      <c r="J92" s="46">
        <f ca="1">SUMPRODUCT(--(WEEKDAY(ROW(INDIRECT($E87:$E156&amp;":"&amp;$F87:$F141)),1)=4))</f>
        <v>0</v>
      </c>
      <c r="K92" s="46">
        <f ca="1">SUMPRODUCT(--(WEEKDAY(ROW(INDIRECT($E87:$E156&amp;":"&amp;$F87:$F141)),1)=5))</f>
        <v>0</v>
      </c>
      <c r="L92" s="46">
        <f ca="1">SUMPRODUCT(--(WEEKDAY(ROW(INDIRECT($E87:$E156&amp;":"&amp;$F87:$F141)),1)=6))</f>
        <v>0</v>
      </c>
      <c r="M92" s="46">
        <f ca="1">SUMPRODUCT(--(WEEKDAY(ROW(INDIRECT($E87:$E156&amp;":"&amp;$F87:$F141)),1)=7))</f>
        <v>0</v>
      </c>
      <c r="N92" s="46">
        <f t="shared" ca="1" si="27"/>
        <v>1</v>
      </c>
      <c r="O92" s="47">
        <f t="shared" si="28"/>
        <v>1</v>
      </c>
      <c r="P92" s="47"/>
      <c r="Q92" s="48"/>
      <c r="R92" s="48"/>
      <c r="S92" s="49"/>
      <c r="T92" s="50"/>
      <c r="U92" s="9"/>
      <c r="W92" s="8"/>
      <c r="Z92" s="48"/>
    </row>
    <row r="93" spans="1:26" ht="30" customHeight="1" x14ac:dyDescent="0.25">
      <c r="A93" s="34"/>
      <c r="B93" s="43" t="s">
        <v>202</v>
      </c>
      <c r="C93" s="44" t="s">
        <v>203</v>
      </c>
      <c r="D93" s="34" t="s">
        <v>204</v>
      </c>
      <c r="E93" s="45">
        <v>46153</v>
      </c>
      <c r="F93" s="45">
        <v>46164</v>
      </c>
      <c r="G93" s="46">
        <f ca="1">SUMPRODUCT(--(WEEKDAY(ROW(INDIRECT($E88:$E157&amp;":"&amp;$F88:$F142)),1)=1))</f>
        <v>1</v>
      </c>
      <c r="H93" s="46">
        <f ca="1">SUMPRODUCT(--(WEEKDAY(ROW(INDIRECT($E88:$E157&amp;":"&amp;$F88:$F142)),1)=2))</f>
        <v>2</v>
      </c>
      <c r="I93" s="46">
        <f ca="1">SUMPRODUCT(--(WEEKDAY(ROW(INDIRECT($E88:$E157&amp;":"&amp;$F88:$F142)),1)=3))</f>
        <v>2</v>
      </c>
      <c r="J93" s="46">
        <f ca="1">SUMPRODUCT(--(WEEKDAY(ROW(INDIRECT($E88:$E157&amp;":"&amp;$F88:$F142)),1)=4))</f>
        <v>2</v>
      </c>
      <c r="K93" s="46">
        <f ca="1">SUMPRODUCT(--(WEEKDAY(ROW(INDIRECT($E88:$E157&amp;":"&amp;$F88:$F142)),1)=5))</f>
        <v>2</v>
      </c>
      <c r="L93" s="46">
        <f ca="1">SUMPRODUCT(--(WEEKDAY(ROW(INDIRECT($E88:$E157&amp;":"&amp;$F88:$F142)),1)=6))</f>
        <v>2</v>
      </c>
      <c r="M93" s="46">
        <f ca="1">SUMPRODUCT(--(WEEKDAY(ROW(INDIRECT($E88:$E157&amp;":"&amp;$F88:$F142)),1)=7))</f>
        <v>1</v>
      </c>
      <c r="N93" s="46">
        <f t="shared" ref="N93:N112" ca="1" si="29">SUM(H93:M93)</f>
        <v>11</v>
      </c>
      <c r="O93" s="47">
        <f t="shared" ref="O93:O112" si="30">F93-E93+1</f>
        <v>12</v>
      </c>
      <c r="P93" s="47"/>
      <c r="Q93" s="48"/>
      <c r="R93" s="48"/>
      <c r="S93" s="49"/>
      <c r="T93" s="50"/>
      <c r="U93" s="9"/>
      <c r="W93" s="8"/>
      <c r="Z93" s="48"/>
    </row>
    <row r="94" spans="1:26" ht="30" customHeight="1" x14ac:dyDescent="0.25">
      <c r="A94" s="34"/>
      <c r="B94" s="43" t="s">
        <v>205</v>
      </c>
      <c r="C94" s="44" t="s">
        <v>206</v>
      </c>
      <c r="D94" s="34" t="s">
        <v>207</v>
      </c>
      <c r="E94" s="45">
        <v>46149</v>
      </c>
      <c r="F94" s="45">
        <v>46160</v>
      </c>
      <c r="G94" s="46">
        <f ca="1">SUMPRODUCT(--(WEEKDAY(ROW(INDIRECT($E89:$E158&amp;":"&amp;$F89:$F143)),1)=1))</f>
        <v>2</v>
      </c>
      <c r="H94" s="46">
        <f ca="1">SUMPRODUCT(--(WEEKDAY(ROW(INDIRECT($E89:$E158&amp;":"&amp;$F89:$F143)),1)=2))</f>
        <v>2</v>
      </c>
      <c r="I94" s="46">
        <f ca="1">SUMPRODUCT(--(WEEKDAY(ROW(INDIRECT($E89:$E158&amp;":"&amp;$F89:$F143)),1)=3))</f>
        <v>1</v>
      </c>
      <c r="J94" s="46">
        <f ca="1">SUMPRODUCT(--(WEEKDAY(ROW(INDIRECT($E89:$E158&amp;":"&amp;$F89:$F143)),1)=4))</f>
        <v>1</v>
      </c>
      <c r="K94" s="46">
        <f ca="1">SUMPRODUCT(--(WEEKDAY(ROW(INDIRECT($E89:$E158&amp;":"&amp;$F89:$F143)),1)=5))</f>
        <v>2</v>
      </c>
      <c r="L94" s="46">
        <f ca="1">SUMPRODUCT(--(WEEKDAY(ROW(INDIRECT($E89:$E158&amp;":"&amp;$F89:$F143)),1)=6))</f>
        <v>2</v>
      </c>
      <c r="M94" s="46">
        <f ca="1">SUMPRODUCT(--(WEEKDAY(ROW(INDIRECT($E89:$E158&amp;":"&amp;$F89:$F143)),1)=7))</f>
        <v>2</v>
      </c>
      <c r="N94" s="46">
        <f t="shared" ca="1" si="29"/>
        <v>10</v>
      </c>
      <c r="O94" s="47">
        <f t="shared" si="30"/>
        <v>12</v>
      </c>
      <c r="P94" s="47"/>
      <c r="Q94" s="48"/>
      <c r="R94" s="48"/>
      <c r="S94" s="49"/>
      <c r="T94" s="50"/>
      <c r="U94" s="9"/>
      <c r="W94" s="8"/>
      <c r="Z94" s="48"/>
    </row>
    <row r="95" spans="1:26" ht="30" customHeight="1" x14ac:dyDescent="0.25">
      <c r="A95" s="34"/>
      <c r="B95" s="43"/>
      <c r="C95" s="44"/>
      <c r="D95" s="34"/>
      <c r="E95" s="45"/>
      <c r="F95" s="45"/>
      <c r="G95" s="46" t="e">
        <f ca="1">SUMPRODUCT(--(WEEKDAY(ROW(INDIRECT($E90:$E159&amp;":"&amp;$F90:$F154)),1)=1))</f>
        <v>#REF!</v>
      </c>
      <c r="H95" s="46" t="e">
        <f ca="1">SUMPRODUCT(--(WEEKDAY(ROW(INDIRECT($E90:$E159&amp;":"&amp;$F90:$F154)),1)=2))</f>
        <v>#REF!</v>
      </c>
      <c r="I95" s="46" t="e">
        <f ca="1">SUMPRODUCT(--(WEEKDAY(ROW(INDIRECT($E90:$E159&amp;":"&amp;$F90:$F154)),1)=3))</f>
        <v>#REF!</v>
      </c>
      <c r="J95" s="46" t="e">
        <f ca="1">SUMPRODUCT(--(WEEKDAY(ROW(INDIRECT($E90:$E159&amp;":"&amp;$F90:$F154)),1)=4))</f>
        <v>#REF!</v>
      </c>
      <c r="K95" s="46" t="e">
        <f ca="1">SUMPRODUCT(--(WEEKDAY(ROW(INDIRECT($E90:$E159&amp;":"&amp;$F90:$F154)),1)=5))</f>
        <v>#REF!</v>
      </c>
      <c r="L95" s="46" t="e">
        <f ca="1">SUMPRODUCT(--(WEEKDAY(ROW(INDIRECT($E90:$E159&amp;":"&amp;$F90:$F154)),1)=6))</f>
        <v>#REF!</v>
      </c>
      <c r="M95" s="46" t="e">
        <f ca="1">SUMPRODUCT(--(WEEKDAY(ROW(INDIRECT($E90:$E159&amp;":"&amp;$F90:$F154)),1)=7))</f>
        <v>#REF!</v>
      </c>
      <c r="N95" s="46" t="e">
        <f t="shared" ca="1" si="29"/>
        <v>#REF!</v>
      </c>
      <c r="O95" s="47">
        <f t="shared" si="30"/>
        <v>1</v>
      </c>
      <c r="P95" s="47"/>
      <c r="Q95" s="48"/>
      <c r="R95" s="48"/>
      <c r="S95" s="49"/>
      <c r="T95" s="50"/>
      <c r="U95" s="9"/>
      <c r="W95" s="8"/>
      <c r="Z95" s="48"/>
    </row>
    <row r="96" spans="1:26" ht="30" customHeight="1" x14ac:dyDescent="0.25">
      <c r="A96" s="34"/>
      <c r="B96" s="43"/>
      <c r="C96" s="44"/>
      <c r="D96" s="34"/>
      <c r="E96" s="45"/>
      <c r="F96" s="45"/>
      <c r="G96" s="46" t="e">
        <f ca="1">SUMPRODUCT(--(WEEKDAY(ROW(INDIRECT($E91:$E160&amp;":"&amp;$F91:$F155)),1)=1))</f>
        <v>#REF!</v>
      </c>
      <c r="H96" s="46" t="e">
        <f ca="1">SUMPRODUCT(--(WEEKDAY(ROW(INDIRECT($E91:$E160&amp;":"&amp;$F91:$F155)),1)=2))</f>
        <v>#REF!</v>
      </c>
      <c r="I96" s="46" t="e">
        <f ca="1">SUMPRODUCT(--(WEEKDAY(ROW(INDIRECT($E91:$E160&amp;":"&amp;$F91:$F155)),1)=3))</f>
        <v>#REF!</v>
      </c>
      <c r="J96" s="46" t="e">
        <f ca="1">SUMPRODUCT(--(WEEKDAY(ROW(INDIRECT($E91:$E160&amp;":"&amp;$F91:$F155)),1)=4))</f>
        <v>#REF!</v>
      </c>
      <c r="K96" s="46" t="e">
        <f ca="1">SUMPRODUCT(--(WEEKDAY(ROW(INDIRECT($E91:$E160&amp;":"&amp;$F91:$F155)),1)=5))</f>
        <v>#REF!</v>
      </c>
      <c r="L96" s="46" t="e">
        <f ca="1">SUMPRODUCT(--(WEEKDAY(ROW(INDIRECT($E91:$E160&amp;":"&amp;$F91:$F155)),1)=6))</f>
        <v>#REF!</v>
      </c>
      <c r="M96" s="46" t="e">
        <f ca="1">SUMPRODUCT(--(WEEKDAY(ROW(INDIRECT($E91:$E160&amp;":"&amp;$F91:$F155)),1)=7))</f>
        <v>#REF!</v>
      </c>
      <c r="N96" s="46" t="e">
        <f t="shared" ca="1" si="29"/>
        <v>#REF!</v>
      </c>
      <c r="O96" s="47">
        <f t="shared" si="30"/>
        <v>1</v>
      </c>
      <c r="P96" s="47"/>
      <c r="Q96" s="48"/>
      <c r="R96" s="48"/>
      <c r="S96" s="49"/>
      <c r="T96" s="50"/>
      <c r="U96" s="9"/>
      <c r="W96" s="8"/>
      <c r="Z96" s="48"/>
    </row>
    <row r="97" spans="1:26" ht="30" customHeight="1" x14ac:dyDescent="0.25">
      <c r="A97" s="34"/>
      <c r="B97" s="43"/>
      <c r="C97" s="44"/>
      <c r="D97" s="34"/>
      <c r="E97" s="45"/>
      <c r="F97" s="45"/>
      <c r="G97" s="46" t="e">
        <f ca="1">SUMPRODUCT(--(WEEKDAY(ROW(INDIRECT($E92:$E161&amp;":"&amp;$F92:$F156)),1)=1))</f>
        <v>#REF!</v>
      </c>
      <c r="H97" s="46" t="e">
        <f ca="1">SUMPRODUCT(--(WEEKDAY(ROW(INDIRECT($E92:$E161&amp;":"&amp;$F92:$F156)),1)=2))</f>
        <v>#REF!</v>
      </c>
      <c r="I97" s="46" t="e">
        <f ca="1">SUMPRODUCT(--(WEEKDAY(ROW(INDIRECT($E92:$E161&amp;":"&amp;$F92:$F156)),1)=3))</f>
        <v>#REF!</v>
      </c>
      <c r="J97" s="46" t="e">
        <f ca="1">SUMPRODUCT(--(WEEKDAY(ROW(INDIRECT($E92:$E161&amp;":"&amp;$F92:$F156)),1)=4))</f>
        <v>#REF!</v>
      </c>
      <c r="K97" s="46" t="e">
        <f ca="1">SUMPRODUCT(--(WEEKDAY(ROW(INDIRECT($E92:$E161&amp;":"&amp;$F92:$F156)),1)=5))</f>
        <v>#REF!</v>
      </c>
      <c r="L97" s="46" t="e">
        <f ca="1">SUMPRODUCT(--(WEEKDAY(ROW(INDIRECT($E92:$E161&amp;":"&amp;$F92:$F156)),1)=6))</f>
        <v>#REF!</v>
      </c>
      <c r="M97" s="46" t="e">
        <f ca="1">SUMPRODUCT(--(WEEKDAY(ROW(INDIRECT($E92:$E161&amp;":"&amp;$F92:$F156)),1)=7))</f>
        <v>#REF!</v>
      </c>
      <c r="N97" s="46" t="e">
        <f t="shared" ca="1" si="29"/>
        <v>#REF!</v>
      </c>
      <c r="O97" s="47">
        <f t="shared" si="30"/>
        <v>1</v>
      </c>
      <c r="P97" s="47"/>
      <c r="Q97" s="48"/>
      <c r="R97" s="48"/>
      <c r="S97" s="49"/>
      <c r="T97" s="50"/>
      <c r="U97" s="9"/>
      <c r="W97" s="8"/>
      <c r="Z97" s="48"/>
    </row>
    <row r="98" spans="1:26" ht="30" customHeight="1" x14ac:dyDescent="0.25">
      <c r="A98" s="34"/>
      <c r="B98" s="43"/>
      <c r="C98" s="44"/>
      <c r="D98" s="34"/>
      <c r="E98" s="45"/>
      <c r="F98" s="45"/>
      <c r="G98" s="46" t="e">
        <f ca="1">SUMPRODUCT(--(WEEKDAY(ROW(INDIRECT($E93:$E162&amp;":"&amp;$F93:$F157)),1)=1))</f>
        <v>#REF!</v>
      </c>
      <c r="H98" s="46" t="e">
        <f ca="1">SUMPRODUCT(--(WEEKDAY(ROW(INDIRECT($E93:$E162&amp;":"&amp;$F93:$F157)),1)=2))</f>
        <v>#REF!</v>
      </c>
      <c r="I98" s="46" t="e">
        <f ca="1">SUMPRODUCT(--(WEEKDAY(ROW(INDIRECT($E93:$E162&amp;":"&amp;$F93:$F157)),1)=3))</f>
        <v>#REF!</v>
      </c>
      <c r="J98" s="46" t="e">
        <f ca="1">SUMPRODUCT(--(WEEKDAY(ROW(INDIRECT($E93:$E162&amp;":"&amp;$F93:$F157)),1)=4))</f>
        <v>#REF!</v>
      </c>
      <c r="K98" s="46" t="e">
        <f ca="1">SUMPRODUCT(--(WEEKDAY(ROW(INDIRECT($E93:$E162&amp;":"&amp;$F93:$F157)),1)=5))</f>
        <v>#REF!</v>
      </c>
      <c r="L98" s="46" t="e">
        <f ca="1">SUMPRODUCT(--(WEEKDAY(ROW(INDIRECT($E93:$E162&amp;":"&amp;$F93:$F157)),1)=6))</f>
        <v>#REF!</v>
      </c>
      <c r="M98" s="46" t="e">
        <f ca="1">SUMPRODUCT(--(WEEKDAY(ROW(INDIRECT($E93:$E162&amp;":"&amp;$F93:$F157)),1)=7))</f>
        <v>#REF!</v>
      </c>
      <c r="N98" s="46" t="e">
        <f t="shared" ca="1" si="29"/>
        <v>#REF!</v>
      </c>
      <c r="O98" s="47">
        <f t="shared" si="30"/>
        <v>1</v>
      </c>
      <c r="P98" s="47"/>
      <c r="Q98" s="48"/>
      <c r="R98" s="48"/>
      <c r="S98" s="49"/>
      <c r="T98" s="50"/>
      <c r="U98" s="9"/>
      <c r="W98" s="8"/>
      <c r="Z98" s="48"/>
    </row>
    <row r="99" spans="1:26" ht="30" customHeight="1" x14ac:dyDescent="0.25">
      <c r="A99" s="34"/>
      <c r="B99" s="43"/>
      <c r="C99" s="44"/>
      <c r="D99" s="34"/>
      <c r="E99" s="45"/>
      <c r="F99" s="45"/>
      <c r="G99" s="46" t="e">
        <f ca="1">SUMPRODUCT(--(WEEKDAY(ROW(INDIRECT($E94:$E163&amp;":"&amp;$F94:$F158)),1)=1))</f>
        <v>#REF!</v>
      </c>
      <c r="H99" s="46" t="e">
        <f ca="1">SUMPRODUCT(--(WEEKDAY(ROW(INDIRECT($E94:$E163&amp;":"&amp;$F94:$F158)),1)=2))</f>
        <v>#REF!</v>
      </c>
      <c r="I99" s="46" t="e">
        <f ca="1">SUMPRODUCT(--(WEEKDAY(ROW(INDIRECT($E94:$E163&amp;":"&amp;$F94:$F158)),1)=3))</f>
        <v>#REF!</v>
      </c>
      <c r="J99" s="46" t="e">
        <f ca="1">SUMPRODUCT(--(WEEKDAY(ROW(INDIRECT($E94:$E163&amp;":"&amp;$F94:$F158)),1)=4))</f>
        <v>#REF!</v>
      </c>
      <c r="K99" s="46" t="e">
        <f ca="1">SUMPRODUCT(--(WEEKDAY(ROW(INDIRECT($E94:$E163&amp;":"&amp;$F94:$F158)),1)=5))</f>
        <v>#REF!</v>
      </c>
      <c r="L99" s="46" t="e">
        <f ca="1">SUMPRODUCT(--(WEEKDAY(ROW(INDIRECT($E94:$E163&amp;":"&amp;$F94:$F158)),1)=6))</f>
        <v>#REF!</v>
      </c>
      <c r="M99" s="46" t="e">
        <f ca="1">SUMPRODUCT(--(WEEKDAY(ROW(INDIRECT($E94:$E163&amp;":"&amp;$F94:$F158)),1)=7))</f>
        <v>#REF!</v>
      </c>
      <c r="N99" s="46" t="e">
        <f t="shared" ca="1" si="29"/>
        <v>#REF!</v>
      </c>
      <c r="O99" s="47">
        <f t="shared" si="30"/>
        <v>1</v>
      </c>
      <c r="P99" s="47"/>
      <c r="Q99" s="48"/>
      <c r="R99" s="48"/>
      <c r="S99" s="49"/>
      <c r="T99" s="50"/>
      <c r="U99" s="9"/>
      <c r="W99" s="8"/>
      <c r="Z99" s="48"/>
    </row>
    <row r="100" spans="1:26" ht="30" customHeight="1" x14ac:dyDescent="0.25">
      <c r="A100" s="34"/>
      <c r="B100" s="43"/>
      <c r="C100" s="44"/>
      <c r="D100" s="34"/>
      <c r="E100" s="45"/>
      <c r="F100" s="45"/>
      <c r="G100" s="46" t="e">
        <f t="shared" ref="G100:G109" ca="1" si="31">SUMPRODUCT(--(WEEKDAY(ROW(INDIRECT($E95:$E164&amp;":"&amp;$F95:$F159)),1)=1))</f>
        <v>#REF!</v>
      </c>
      <c r="H100" s="46" t="e">
        <f t="shared" ref="H100:H109" ca="1" si="32">SUMPRODUCT(--(WEEKDAY(ROW(INDIRECT($E95:$E164&amp;":"&amp;$F95:$F159)),1)=2))</f>
        <v>#REF!</v>
      </c>
      <c r="I100" s="46" t="e">
        <f t="shared" ref="I100:I109" ca="1" si="33">SUMPRODUCT(--(WEEKDAY(ROW(INDIRECT($E95:$E164&amp;":"&amp;$F95:$F159)),1)=3))</f>
        <v>#REF!</v>
      </c>
      <c r="J100" s="46" t="e">
        <f t="shared" ref="J100:J109" ca="1" si="34">SUMPRODUCT(--(WEEKDAY(ROW(INDIRECT($E95:$E164&amp;":"&amp;$F95:$F159)),1)=4))</f>
        <v>#REF!</v>
      </c>
      <c r="K100" s="46" t="e">
        <f t="shared" ref="K100:K109" ca="1" si="35">SUMPRODUCT(--(WEEKDAY(ROW(INDIRECT($E95:$E164&amp;":"&amp;$F95:$F159)),1)=5))</f>
        <v>#REF!</v>
      </c>
      <c r="L100" s="46" t="e">
        <f t="shared" ref="L100:L109" ca="1" si="36">SUMPRODUCT(--(WEEKDAY(ROW(INDIRECT($E95:$E164&amp;":"&amp;$F95:$F159)),1)=6))</f>
        <v>#REF!</v>
      </c>
      <c r="M100" s="46" t="e">
        <f t="shared" ref="M100:M109" ca="1" si="37">SUMPRODUCT(--(WEEKDAY(ROW(INDIRECT($E95:$E164&amp;":"&amp;$F95:$F159)),1)=7))</f>
        <v>#REF!</v>
      </c>
      <c r="N100" s="46" t="e">
        <f t="shared" ref="N100:N109" ca="1" si="38">SUM(H100:M100)</f>
        <v>#REF!</v>
      </c>
      <c r="O100" s="47">
        <f t="shared" ref="O100:O109" si="39">F100-E100+1</f>
        <v>1</v>
      </c>
      <c r="P100" s="47"/>
      <c r="Q100" s="48"/>
      <c r="R100" s="48"/>
      <c r="S100" s="49"/>
      <c r="T100" s="50"/>
      <c r="U100" s="9"/>
      <c r="W100" s="8"/>
      <c r="Z100" s="48"/>
    </row>
    <row r="101" spans="1:26" ht="30" customHeight="1" x14ac:dyDescent="0.25">
      <c r="A101" s="34"/>
      <c r="B101" s="43"/>
      <c r="C101" s="44"/>
      <c r="D101" s="34"/>
      <c r="E101" s="45"/>
      <c r="F101" s="45"/>
      <c r="G101" s="46" t="e">
        <f t="shared" ca="1" si="31"/>
        <v>#REF!</v>
      </c>
      <c r="H101" s="46" t="e">
        <f t="shared" ca="1" si="32"/>
        <v>#REF!</v>
      </c>
      <c r="I101" s="46" t="e">
        <f t="shared" ca="1" si="33"/>
        <v>#REF!</v>
      </c>
      <c r="J101" s="46" t="e">
        <f t="shared" ca="1" si="34"/>
        <v>#REF!</v>
      </c>
      <c r="K101" s="46" t="e">
        <f t="shared" ca="1" si="35"/>
        <v>#REF!</v>
      </c>
      <c r="L101" s="46" t="e">
        <f t="shared" ca="1" si="36"/>
        <v>#REF!</v>
      </c>
      <c r="M101" s="46" t="e">
        <f t="shared" ca="1" si="37"/>
        <v>#REF!</v>
      </c>
      <c r="N101" s="46" t="e">
        <f t="shared" ca="1" si="38"/>
        <v>#REF!</v>
      </c>
      <c r="O101" s="47">
        <f t="shared" si="39"/>
        <v>1</v>
      </c>
      <c r="P101" s="47"/>
      <c r="Q101" s="48"/>
      <c r="R101" s="48"/>
      <c r="S101" s="49"/>
      <c r="T101" s="50"/>
      <c r="U101" s="9"/>
      <c r="W101" s="8"/>
      <c r="Z101" s="48"/>
    </row>
    <row r="102" spans="1:26" ht="30" customHeight="1" x14ac:dyDescent="0.25">
      <c r="A102" s="34"/>
      <c r="B102" s="43"/>
      <c r="C102" s="44"/>
      <c r="D102" s="34"/>
      <c r="E102" s="45"/>
      <c r="F102" s="45"/>
      <c r="G102" s="46" t="e">
        <f t="shared" ca="1" si="31"/>
        <v>#REF!</v>
      </c>
      <c r="H102" s="46" t="e">
        <f t="shared" ca="1" si="32"/>
        <v>#REF!</v>
      </c>
      <c r="I102" s="46" t="e">
        <f t="shared" ca="1" si="33"/>
        <v>#REF!</v>
      </c>
      <c r="J102" s="46" t="e">
        <f t="shared" ca="1" si="34"/>
        <v>#REF!</v>
      </c>
      <c r="K102" s="46" t="e">
        <f t="shared" ca="1" si="35"/>
        <v>#REF!</v>
      </c>
      <c r="L102" s="46" t="e">
        <f t="shared" ca="1" si="36"/>
        <v>#REF!</v>
      </c>
      <c r="M102" s="46" t="e">
        <f t="shared" ca="1" si="37"/>
        <v>#REF!</v>
      </c>
      <c r="N102" s="46" t="e">
        <f t="shared" ca="1" si="38"/>
        <v>#REF!</v>
      </c>
      <c r="O102" s="47">
        <f t="shared" si="39"/>
        <v>1</v>
      </c>
      <c r="P102" s="47"/>
      <c r="Q102" s="48"/>
      <c r="R102" s="48"/>
      <c r="S102" s="49"/>
      <c r="T102" s="50"/>
      <c r="U102" s="9"/>
      <c r="W102" s="8"/>
      <c r="Z102" s="48"/>
    </row>
    <row r="103" spans="1:26" ht="30" customHeight="1" x14ac:dyDescent="0.25">
      <c r="A103" s="34"/>
      <c r="B103" s="43"/>
      <c r="C103" s="44"/>
      <c r="D103" s="34"/>
      <c r="E103" s="45"/>
      <c r="F103" s="45"/>
      <c r="G103" s="46" t="e">
        <f t="shared" ca="1" si="31"/>
        <v>#REF!</v>
      </c>
      <c r="H103" s="46" t="e">
        <f t="shared" ca="1" si="32"/>
        <v>#REF!</v>
      </c>
      <c r="I103" s="46" t="e">
        <f t="shared" ca="1" si="33"/>
        <v>#REF!</v>
      </c>
      <c r="J103" s="46" t="e">
        <f t="shared" ca="1" si="34"/>
        <v>#REF!</v>
      </c>
      <c r="K103" s="46" t="e">
        <f t="shared" ca="1" si="35"/>
        <v>#REF!</v>
      </c>
      <c r="L103" s="46" t="e">
        <f t="shared" ca="1" si="36"/>
        <v>#REF!</v>
      </c>
      <c r="M103" s="46" t="e">
        <f t="shared" ca="1" si="37"/>
        <v>#REF!</v>
      </c>
      <c r="N103" s="46" t="e">
        <f t="shared" ca="1" si="38"/>
        <v>#REF!</v>
      </c>
      <c r="O103" s="47">
        <f t="shared" si="39"/>
        <v>1</v>
      </c>
      <c r="P103" s="47"/>
      <c r="Q103" s="48"/>
      <c r="R103" s="48"/>
      <c r="S103" s="49"/>
      <c r="T103" s="50"/>
      <c r="U103" s="9"/>
      <c r="W103" s="8"/>
      <c r="Z103" s="48"/>
    </row>
    <row r="104" spans="1:26" ht="30" customHeight="1" x14ac:dyDescent="0.25">
      <c r="A104" s="34"/>
      <c r="B104" s="43"/>
      <c r="C104" s="44"/>
      <c r="D104" s="34"/>
      <c r="E104" s="45"/>
      <c r="F104" s="45"/>
      <c r="G104" s="46" t="e">
        <f t="shared" ca="1" si="31"/>
        <v>#REF!</v>
      </c>
      <c r="H104" s="46" t="e">
        <f t="shared" ca="1" si="32"/>
        <v>#REF!</v>
      </c>
      <c r="I104" s="46" t="e">
        <f t="shared" ca="1" si="33"/>
        <v>#REF!</v>
      </c>
      <c r="J104" s="46" t="e">
        <f t="shared" ca="1" si="34"/>
        <v>#REF!</v>
      </c>
      <c r="K104" s="46" t="e">
        <f t="shared" ca="1" si="35"/>
        <v>#REF!</v>
      </c>
      <c r="L104" s="46" t="e">
        <f t="shared" ca="1" si="36"/>
        <v>#REF!</v>
      </c>
      <c r="M104" s="46" t="e">
        <f t="shared" ca="1" si="37"/>
        <v>#REF!</v>
      </c>
      <c r="N104" s="46" t="e">
        <f t="shared" ca="1" si="38"/>
        <v>#REF!</v>
      </c>
      <c r="O104" s="47">
        <f t="shared" si="39"/>
        <v>1</v>
      </c>
      <c r="P104" s="47"/>
      <c r="Q104" s="48"/>
      <c r="R104" s="48"/>
      <c r="S104" s="49"/>
      <c r="T104" s="50"/>
      <c r="U104" s="9"/>
      <c r="W104" s="8"/>
      <c r="Z104" s="48"/>
    </row>
    <row r="105" spans="1:26" ht="30" customHeight="1" x14ac:dyDescent="0.25">
      <c r="A105" s="34"/>
      <c r="B105" s="43"/>
      <c r="C105" s="44"/>
      <c r="D105" s="34"/>
      <c r="E105" s="45"/>
      <c r="F105" s="45"/>
      <c r="G105" s="46" t="e">
        <f t="shared" ca="1" si="31"/>
        <v>#REF!</v>
      </c>
      <c r="H105" s="46" t="e">
        <f t="shared" ca="1" si="32"/>
        <v>#REF!</v>
      </c>
      <c r="I105" s="46" t="e">
        <f t="shared" ca="1" si="33"/>
        <v>#REF!</v>
      </c>
      <c r="J105" s="46" t="e">
        <f t="shared" ca="1" si="34"/>
        <v>#REF!</v>
      </c>
      <c r="K105" s="46" t="e">
        <f t="shared" ca="1" si="35"/>
        <v>#REF!</v>
      </c>
      <c r="L105" s="46" t="e">
        <f t="shared" ca="1" si="36"/>
        <v>#REF!</v>
      </c>
      <c r="M105" s="46" t="e">
        <f t="shared" ca="1" si="37"/>
        <v>#REF!</v>
      </c>
      <c r="N105" s="46" t="e">
        <f t="shared" ca="1" si="38"/>
        <v>#REF!</v>
      </c>
      <c r="O105" s="47">
        <f t="shared" si="39"/>
        <v>1</v>
      </c>
      <c r="P105" s="47"/>
      <c r="Q105" s="48"/>
      <c r="R105" s="48"/>
      <c r="S105" s="49"/>
      <c r="T105" s="50"/>
      <c r="U105" s="9"/>
      <c r="W105" s="8"/>
      <c r="Z105" s="48"/>
    </row>
    <row r="106" spans="1:26" ht="30" customHeight="1" x14ac:dyDescent="0.25">
      <c r="A106" s="34"/>
      <c r="B106" s="43"/>
      <c r="C106" s="44"/>
      <c r="D106" s="34"/>
      <c r="E106" s="45"/>
      <c r="F106" s="45"/>
      <c r="G106" s="46" t="e">
        <f t="shared" ca="1" si="31"/>
        <v>#REF!</v>
      </c>
      <c r="H106" s="46" t="e">
        <f t="shared" ca="1" si="32"/>
        <v>#REF!</v>
      </c>
      <c r="I106" s="46" t="e">
        <f t="shared" ca="1" si="33"/>
        <v>#REF!</v>
      </c>
      <c r="J106" s="46" t="e">
        <f t="shared" ca="1" si="34"/>
        <v>#REF!</v>
      </c>
      <c r="K106" s="46" t="e">
        <f t="shared" ca="1" si="35"/>
        <v>#REF!</v>
      </c>
      <c r="L106" s="46" t="e">
        <f t="shared" ca="1" si="36"/>
        <v>#REF!</v>
      </c>
      <c r="M106" s="46" t="e">
        <f t="shared" ca="1" si="37"/>
        <v>#REF!</v>
      </c>
      <c r="N106" s="46" t="e">
        <f t="shared" ca="1" si="38"/>
        <v>#REF!</v>
      </c>
      <c r="O106" s="47">
        <f t="shared" si="39"/>
        <v>1</v>
      </c>
      <c r="P106" s="47"/>
      <c r="Q106" s="48"/>
      <c r="R106" s="48"/>
      <c r="S106" s="49"/>
      <c r="T106" s="50"/>
      <c r="U106" s="9"/>
      <c r="W106" s="8"/>
      <c r="Z106" s="48"/>
    </row>
    <row r="107" spans="1:26" ht="30" customHeight="1" x14ac:dyDescent="0.25">
      <c r="A107" s="34"/>
      <c r="B107" s="43"/>
      <c r="C107" s="44"/>
      <c r="D107" s="34"/>
      <c r="E107" s="45"/>
      <c r="F107" s="45"/>
      <c r="G107" s="46" t="e">
        <f t="shared" ca="1" si="31"/>
        <v>#REF!</v>
      </c>
      <c r="H107" s="46" t="e">
        <f t="shared" ca="1" si="32"/>
        <v>#REF!</v>
      </c>
      <c r="I107" s="46" t="e">
        <f t="shared" ca="1" si="33"/>
        <v>#REF!</v>
      </c>
      <c r="J107" s="46" t="e">
        <f t="shared" ca="1" si="34"/>
        <v>#REF!</v>
      </c>
      <c r="K107" s="46" t="e">
        <f t="shared" ca="1" si="35"/>
        <v>#REF!</v>
      </c>
      <c r="L107" s="46" t="e">
        <f t="shared" ca="1" si="36"/>
        <v>#REF!</v>
      </c>
      <c r="M107" s="46" t="e">
        <f t="shared" ca="1" si="37"/>
        <v>#REF!</v>
      </c>
      <c r="N107" s="46" t="e">
        <f t="shared" ca="1" si="38"/>
        <v>#REF!</v>
      </c>
      <c r="O107" s="47">
        <f t="shared" si="39"/>
        <v>1</v>
      </c>
      <c r="P107" s="47"/>
      <c r="Q107" s="48"/>
      <c r="R107" s="48"/>
      <c r="S107" s="49"/>
      <c r="T107" s="50"/>
      <c r="U107" s="9"/>
      <c r="W107" s="8"/>
      <c r="Z107" s="48"/>
    </row>
    <row r="108" spans="1:26" ht="30" customHeight="1" x14ac:dyDescent="0.25">
      <c r="A108" s="34"/>
      <c r="B108" s="43"/>
      <c r="C108" s="44"/>
      <c r="D108" s="34"/>
      <c r="E108" s="45"/>
      <c r="F108" s="45"/>
      <c r="G108" s="46" t="e">
        <f t="shared" ca="1" si="31"/>
        <v>#REF!</v>
      </c>
      <c r="H108" s="46" t="e">
        <f t="shared" ca="1" si="32"/>
        <v>#REF!</v>
      </c>
      <c r="I108" s="46" t="e">
        <f t="shared" ca="1" si="33"/>
        <v>#REF!</v>
      </c>
      <c r="J108" s="46" t="e">
        <f t="shared" ca="1" si="34"/>
        <v>#REF!</v>
      </c>
      <c r="K108" s="46" t="e">
        <f t="shared" ca="1" si="35"/>
        <v>#REF!</v>
      </c>
      <c r="L108" s="46" t="e">
        <f t="shared" ca="1" si="36"/>
        <v>#REF!</v>
      </c>
      <c r="M108" s="46" t="e">
        <f t="shared" ca="1" si="37"/>
        <v>#REF!</v>
      </c>
      <c r="N108" s="46" t="e">
        <f t="shared" ca="1" si="38"/>
        <v>#REF!</v>
      </c>
      <c r="O108" s="47">
        <f t="shared" si="39"/>
        <v>1</v>
      </c>
      <c r="P108" s="47"/>
      <c r="Q108" s="48"/>
      <c r="R108" s="48"/>
      <c r="S108" s="49"/>
      <c r="T108" s="50"/>
      <c r="U108" s="9"/>
      <c r="W108" s="8"/>
      <c r="Z108" s="48"/>
    </row>
    <row r="109" spans="1:26" ht="30" customHeight="1" x14ac:dyDescent="0.25">
      <c r="A109" s="34"/>
      <c r="B109" s="43"/>
      <c r="C109" s="44"/>
      <c r="D109" s="34"/>
      <c r="E109" s="45"/>
      <c r="F109" s="45"/>
      <c r="G109" s="46" t="e">
        <f t="shared" ca="1" si="31"/>
        <v>#REF!</v>
      </c>
      <c r="H109" s="46" t="e">
        <f t="shared" ca="1" si="32"/>
        <v>#REF!</v>
      </c>
      <c r="I109" s="46" t="e">
        <f t="shared" ca="1" si="33"/>
        <v>#REF!</v>
      </c>
      <c r="J109" s="46" t="e">
        <f t="shared" ca="1" si="34"/>
        <v>#REF!</v>
      </c>
      <c r="K109" s="46" t="e">
        <f t="shared" ca="1" si="35"/>
        <v>#REF!</v>
      </c>
      <c r="L109" s="46" t="e">
        <f t="shared" ca="1" si="36"/>
        <v>#REF!</v>
      </c>
      <c r="M109" s="46" t="e">
        <f t="shared" ca="1" si="37"/>
        <v>#REF!</v>
      </c>
      <c r="N109" s="46" t="e">
        <f t="shared" ca="1" si="38"/>
        <v>#REF!</v>
      </c>
      <c r="O109" s="47">
        <f t="shared" si="39"/>
        <v>1</v>
      </c>
      <c r="P109" s="47"/>
      <c r="Q109" s="48"/>
      <c r="R109" s="48"/>
      <c r="S109" s="49"/>
      <c r="T109" s="50"/>
      <c r="U109" s="9"/>
      <c r="W109" s="8"/>
      <c r="Z109" s="48"/>
    </row>
    <row r="110" spans="1:26" ht="30" customHeight="1" x14ac:dyDescent="0.25">
      <c r="A110" s="34"/>
      <c r="B110" s="43"/>
      <c r="C110" s="44"/>
      <c r="D110" s="34"/>
      <c r="E110" s="45"/>
      <c r="F110" s="45"/>
      <c r="G110" s="46" t="e">
        <f ca="1">SUMPRODUCT(--(WEEKDAY(ROW(INDIRECT($E95:$E164&amp;":"&amp;$F95:$F159)),1)=1))</f>
        <v>#REF!</v>
      </c>
      <c r="H110" s="46" t="e">
        <f ca="1">SUMPRODUCT(--(WEEKDAY(ROW(INDIRECT($E95:$E164&amp;":"&amp;$F95:$F159)),1)=2))</f>
        <v>#REF!</v>
      </c>
      <c r="I110" s="46" t="e">
        <f ca="1">SUMPRODUCT(--(WEEKDAY(ROW(INDIRECT($E95:$E164&amp;":"&amp;$F95:$F159)),1)=3))</f>
        <v>#REF!</v>
      </c>
      <c r="J110" s="46" t="e">
        <f ca="1">SUMPRODUCT(--(WEEKDAY(ROW(INDIRECT($E95:$E164&amp;":"&amp;$F95:$F159)),1)=4))</f>
        <v>#REF!</v>
      </c>
      <c r="K110" s="46" t="e">
        <f ca="1">SUMPRODUCT(--(WEEKDAY(ROW(INDIRECT($E95:$E164&amp;":"&amp;$F95:$F159)),1)=5))</f>
        <v>#REF!</v>
      </c>
      <c r="L110" s="46" t="e">
        <f ca="1">SUMPRODUCT(--(WEEKDAY(ROW(INDIRECT($E95:$E164&amp;":"&amp;$F95:$F159)),1)=6))</f>
        <v>#REF!</v>
      </c>
      <c r="M110" s="46" t="e">
        <f ca="1">SUMPRODUCT(--(WEEKDAY(ROW(INDIRECT($E95:$E164&amp;":"&amp;$F95:$F159)),1)=7))</f>
        <v>#REF!</v>
      </c>
      <c r="N110" s="46" t="e">
        <f t="shared" ca="1" si="29"/>
        <v>#REF!</v>
      </c>
      <c r="O110" s="47">
        <f t="shared" si="30"/>
        <v>1</v>
      </c>
      <c r="P110" s="47"/>
      <c r="Q110" s="48"/>
      <c r="R110" s="48"/>
      <c r="S110" s="49"/>
      <c r="T110" s="50"/>
      <c r="U110" s="9"/>
      <c r="W110" s="8"/>
      <c r="Z110" s="48"/>
    </row>
    <row r="111" spans="1:26" ht="30" customHeight="1" x14ac:dyDescent="0.25">
      <c r="A111" s="34"/>
      <c r="B111" s="43"/>
      <c r="C111" s="44"/>
      <c r="D111" s="34"/>
      <c r="E111" s="45"/>
      <c r="F111" s="45"/>
      <c r="G111" s="46" t="e">
        <f ca="1">SUMPRODUCT(--(WEEKDAY(ROW(INDIRECT($E96:$E165&amp;":"&amp;$F96:$F160)),1)=1))</f>
        <v>#REF!</v>
      </c>
      <c r="H111" s="46" t="e">
        <f ca="1">SUMPRODUCT(--(WEEKDAY(ROW(INDIRECT($E96:$E165&amp;":"&amp;$F96:$F160)),1)=2))</f>
        <v>#REF!</v>
      </c>
      <c r="I111" s="46" t="e">
        <f ca="1">SUMPRODUCT(--(WEEKDAY(ROW(INDIRECT($E96:$E165&amp;":"&amp;$F96:$F160)),1)=3))</f>
        <v>#REF!</v>
      </c>
      <c r="J111" s="46" t="e">
        <f ca="1">SUMPRODUCT(--(WEEKDAY(ROW(INDIRECT($E96:$E165&amp;":"&amp;$F96:$F160)),1)=4))</f>
        <v>#REF!</v>
      </c>
      <c r="K111" s="46" t="e">
        <f ca="1">SUMPRODUCT(--(WEEKDAY(ROW(INDIRECT($E96:$E165&amp;":"&amp;$F96:$F160)),1)=5))</f>
        <v>#REF!</v>
      </c>
      <c r="L111" s="46" t="e">
        <f ca="1">SUMPRODUCT(--(WEEKDAY(ROW(INDIRECT($E96:$E165&amp;":"&amp;$F96:$F160)),1)=6))</f>
        <v>#REF!</v>
      </c>
      <c r="M111" s="46" t="e">
        <f ca="1">SUMPRODUCT(--(WEEKDAY(ROW(INDIRECT($E96:$E165&amp;":"&amp;$F96:$F160)),1)=7))</f>
        <v>#REF!</v>
      </c>
      <c r="N111" s="46" t="e">
        <f t="shared" ca="1" si="29"/>
        <v>#REF!</v>
      </c>
      <c r="O111" s="47">
        <f t="shared" si="30"/>
        <v>1</v>
      </c>
      <c r="P111" s="47"/>
      <c r="Q111" s="48"/>
      <c r="R111" s="48"/>
      <c r="S111" s="49"/>
      <c r="T111" s="50"/>
      <c r="U111" s="9"/>
      <c r="W111" s="8"/>
      <c r="Z111" s="48"/>
    </row>
    <row r="112" spans="1:26" ht="30" customHeight="1" x14ac:dyDescent="0.25">
      <c r="A112" s="34"/>
      <c r="B112" s="43"/>
      <c r="C112" s="44"/>
      <c r="D112" s="34"/>
      <c r="E112" s="45"/>
      <c r="F112" s="45"/>
      <c r="G112" s="46" t="e">
        <f ca="1">SUMPRODUCT(--(WEEKDAY(ROW(INDIRECT($E97:$E183&amp;":"&amp;$F97:$F161)),1)=1))</f>
        <v>#REF!</v>
      </c>
      <c r="H112" s="46" t="e">
        <f ca="1">SUMPRODUCT(--(WEEKDAY(ROW(INDIRECT($E97:$E183&amp;":"&amp;$F97:$F161)),1)=2))</f>
        <v>#REF!</v>
      </c>
      <c r="I112" s="46" t="e">
        <f ca="1">SUMPRODUCT(--(WEEKDAY(ROW(INDIRECT($E97:$E183&amp;":"&amp;$F97:$F161)),1)=3))</f>
        <v>#REF!</v>
      </c>
      <c r="J112" s="46" t="e">
        <f ca="1">SUMPRODUCT(--(WEEKDAY(ROW(INDIRECT($E97:$E183&amp;":"&amp;$F97:$F161)),1)=4))</f>
        <v>#REF!</v>
      </c>
      <c r="K112" s="46" t="e">
        <f ca="1">SUMPRODUCT(--(WEEKDAY(ROW(INDIRECT($E97:$E183&amp;":"&amp;$F97:$F161)),1)=5))</f>
        <v>#REF!</v>
      </c>
      <c r="L112" s="46" t="e">
        <f ca="1">SUMPRODUCT(--(WEEKDAY(ROW(INDIRECT($E97:$E183&amp;":"&amp;$F97:$F161)),1)=6))</f>
        <v>#REF!</v>
      </c>
      <c r="M112" s="46" t="e">
        <f ca="1">SUMPRODUCT(--(WEEKDAY(ROW(INDIRECT($E97:$E183&amp;":"&amp;$F97:$F161)),1)=7))</f>
        <v>#REF!</v>
      </c>
      <c r="N112" s="46" t="e">
        <f t="shared" ca="1" si="29"/>
        <v>#REF!</v>
      </c>
      <c r="O112" s="47">
        <f t="shared" si="30"/>
        <v>1</v>
      </c>
      <c r="P112" s="47"/>
      <c r="Q112" s="48"/>
      <c r="R112" s="48"/>
      <c r="S112" s="49"/>
      <c r="T112" s="50"/>
      <c r="U112" s="9"/>
      <c r="W112" s="8"/>
      <c r="Z112" s="48"/>
    </row>
    <row r="113" spans="1:26" ht="30" customHeight="1" x14ac:dyDescent="0.25">
      <c r="A113" s="34"/>
      <c r="B113" s="43"/>
      <c r="C113" s="44"/>
      <c r="D113" s="34"/>
      <c r="E113" s="45"/>
      <c r="F113" s="45"/>
      <c r="G113" s="46" t="e">
        <f ca="1">SUMPRODUCT(--(WEEKDAY(ROW(INDIRECT($E88:$E157&amp;":"&amp;$F88:$F142)),1)=1))</f>
        <v>#REF!</v>
      </c>
      <c r="H113" s="46" t="e">
        <f ca="1">SUMPRODUCT(--(WEEKDAY(ROW(INDIRECT($E88:$E157&amp;":"&amp;$F88:$F142)),1)=2))</f>
        <v>#REF!</v>
      </c>
      <c r="I113" s="46" t="e">
        <f ca="1">SUMPRODUCT(--(WEEKDAY(ROW(INDIRECT($E88:$E157&amp;":"&amp;$F88:$F142)),1)=3))</f>
        <v>#REF!</v>
      </c>
      <c r="J113" s="46" t="e">
        <f ca="1">SUMPRODUCT(--(WEEKDAY(ROW(INDIRECT($E88:$E157&amp;":"&amp;$F88:$F142)),1)=4))</f>
        <v>#REF!</v>
      </c>
      <c r="K113" s="46" t="e">
        <f ca="1">SUMPRODUCT(--(WEEKDAY(ROW(INDIRECT($E88:$E157&amp;":"&amp;$F88:$F142)),1)=5))</f>
        <v>#REF!</v>
      </c>
      <c r="L113" s="46" t="e">
        <f ca="1">SUMPRODUCT(--(WEEKDAY(ROW(INDIRECT($E88:$E157&amp;":"&amp;$F88:$F142)),1)=6))</f>
        <v>#REF!</v>
      </c>
      <c r="M113" s="46" t="e">
        <f ca="1">SUMPRODUCT(--(WEEKDAY(ROW(INDIRECT($E88:$E157&amp;":"&amp;$F88:$F142)),1)=7))</f>
        <v>#REF!</v>
      </c>
      <c r="N113" s="46" t="e">
        <f t="shared" ca="1" si="27"/>
        <v>#REF!</v>
      </c>
      <c r="O113" s="47">
        <f t="shared" si="28"/>
        <v>1</v>
      </c>
      <c r="P113" s="47"/>
      <c r="Q113" s="48"/>
      <c r="R113" s="48"/>
      <c r="S113" s="49"/>
      <c r="T113" s="50"/>
      <c r="U113" s="9"/>
      <c r="W113" s="8"/>
      <c r="Z113" s="48"/>
    </row>
    <row r="114" spans="1:26" ht="31.5" customHeight="1" x14ac:dyDescent="0.25">
      <c r="A114" s="122" t="s">
        <v>62</v>
      </c>
      <c r="B114" s="123"/>
      <c r="C114" s="123"/>
      <c r="D114" s="123"/>
      <c r="E114" s="123"/>
      <c r="F114" s="124"/>
      <c r="G114" s="51"/>
      <c r="H114" s="51"/>
      <c r="I114" s="51"/>
      <c r="J114" s="51"/>
      <c r="K114" s="51"/>
      <c r="L114" s="51"/>
      <c r="M114" s="51"/>
      <c r="N114" s="51"/>
      <c r="O114" s="35">
        <v>6</v>
      </c>
      <c r="P114" s="35"/>
      <c r="Q114" s="40"/>
      <c r="R114" s="35"/>
      <c r="S114" s="41"/>
      <c r="T114" s="2"/>
      <c r="U114" s="7"/>
    </row>
    <row r="115" spans="1:26" ht="31.5" customHeight="1" x14ac:dyDescent="0.25">
      <c r="A115" s="35" t="s">
        <v>66</v>
      </c>
      <c r="B115" s="36"/>
      <c r="C115" s="38" t="s">
        <v>67</v>
      </c>
      <c r="D115" s="41"/>
      <c r="E115" s="41"/>
      <c r="F115" s="41"/>
      <c r="G115" s="41"/>
      <c r="H115" s="41"/>
      <c r="I115" s="41"/>
      <c r="J115" s="41"/>
      <c r="K115" s="41"/>
      <c r="L115" s="41"/>
      <c r="M115" s="41"/>
      <c r="N115" s="41"/>
      <c r="O115" s="41"/>
      <c r="P115" s="41"/>
      <c r="Q115" s="40"/>
      <c r="R115" s="35"/>
      <c r="S115" s="41"/>
      <c r="T115" s="2"/>
      <c r="U115" s="7"/>
    </row>
    <row r="116" spans="1:26" ht="31.5" customHeight="1" x14ac:dyDescent="0.25">
      <c r="A116" s="55" t="s">
        <v>68</v>
      </c>
      <c r="B116" s="36"/>
      <c r="C116" s="56" t="s">
        <v>69</v>
      </c>
      <c r="D116" s="35"/>
      <c r="E116" s="39"/>
      <c r="F116" s="39"/>
      <c r="G116" s="42" t="s">
        <v>31</v>
      </c>
      <c r="H116" s="42" t="s">
        <v>32</v>
      </c>
      <c r="I116" s="42" t="s">
        <v>33</v>
      </c>
      <c r="J116" s="42" t="s">
        <v>34</v>
      </c>
      <c r="K116" s="42" t="s">
        <v>35</v>
      </c>
      <c r="L116" s="42" t="s">
        <v>36</v>
      </c>
      <c r="M116" s="42" t="s">
        <v>37</v>
      </c>
      <c r="N116" s="42" t="s">
        <v>38</v>
      </c>
      <c r="O116" s="35"/>
      <c r="P116" s="35"/>
      <c r="Q116" s="57"/>
      <c r="R116" s="35"/>
      <c r="S116" s="41"/>
      <c r="T116" s="2"/>
      <c r="U116" s="7"/>
    </row>
    <row r="117" spans="1:26" ht="33.75" customHeight="1" x14ac:dyDescent="0.25">
      <c r="A117" s="34">
        <v>1</v>
      </c>
      <c r="B117" s="43" t="s">
        <v>208</v>
      </c>
      <c r="C117" s="44" t="s">
        <v>209</v>
      </c>
      <c r="D117" s="34" t="s">
        <v>210</v>
      </c>
      <c r="E117" s="45">
        <v>46155</v>
      </c>
      <c r="F117" s="45">
        <v>46163</v>
      </c>
      <c r="G117" s="46">
        <f ca="1">SUMPRODUCT(--(WEEKDAY(ROW(INDIRECT($E92:$E161&amp;":"&amp;$F92:$F156)),1)=1))</f>
        <v>1</v>
      </c>
      <c r="H117" s="46">
        <f ca="1">SUMPRODUCT(--(WEEKDAY(ROW(INDIRECT($E92:$E161&amp;":"&amp;$F92:$F156)),1)=2))</f>
        <v>1</v>
      </c>
      <c r="I117" s="46">
        <f ca="1">SUMPRODUCT(--(WEEKDAY(ROW(INDIRECT($E92:$E161&amp;":"&amp;$F92:$F156)),1)=3))</f>
        <v>1</v>
      </c>
      <c r="J117" s="46">
        <f ca="1">SUMPRODUCT(--(WEEKDAY(ROW(INDIRECT($E92:$E161&amp;":"&amp;$F92:$F156)),1)=4))</f>
        <v>2</v>
      </c>
      <c r="K117" s="46">
        <f ca="1">SUMPRODUCT(--(WEEKDAY(ROW(INDIRECT($E92:$E161&amp;":"&amp;$F92:$F156)),1)=5))</f>
        <v>2</v>
      </c>
      <c r="L117" s="46">
        <f ca="1">SUMPRODUCT(--(WEEKDAY(ROW(INDIRECT($E92:$E161&amp;":"&amp;$F92:$F156)),1)=6))</f>
        <v>1</v>
      </c>
      <c r="M117" s="46">
        <f ca="1">SUMPRODUCT(--(WEEKDAY(ROW(INDIRECT($E92:$E161&amp;":"&amp;$F92:$F156)),1)=7))</f>
        <v>1</v>
      </c>
      <c r="N117" s="46">
        <f t="shared" ref="N117:N140" ca="1" si="40">SUM(H117:M117)</f>
        <v>8</v>
      </c>
      <c r="O117" s="47">
        <f t="shared" ref="O117:O140" si="41">F117-E117+1</f>
        <v>9</v>
      </c>
      <c r="P117" s="47"/>
      <c r="Q117" s="48"/>
      <c r="R117" s="58"/>
      <c r="S117" s="59"/>
      <c r="T117" s="50" t="s">
        <v>67</v>
      </c>
      <c r="U117" s="9" t="s">
        <v>70</v>
      </c>
      <c r="W117" s="8"/>
    </row>
    <row r="118" spans="1:26" ht="33.75" customHeight="1" x14ac:dyDescent="0.25">
      <c r="A118" s="34">
        <v>2</v>
      </c>
      <c r="B118" s="43" t="s">
        <v>211</v>
      </c>
      <c r="C118" s="44" t="s">
        <v>212</v>
      </c>
      <c r="D118" s="34" t="s">
        <v>213</v>
      </c>
      <c r="E118" s="45">
        <v>46161</v>
      </c>
      <c r="F118" s="45">
        <v>46167</v>
      </c>
      <c r="G118" s="46">
        <f ca="1">SUMPRODUCT(--(WEEKDAY(ROW(INDIRECT($E113:$E162&amp;":"&amp;$F113:$F157)),1)=1))</f>
        <v>1</v>
      </c>
      <c r="H118" s="46">
        <f ca="1">SUMPRODUCT(--(WEEKDAY(ROW(INDIRECT($E113:$E162&amp;":"&amp;$F113:$F157)),1)=2))</f>
        <v>1</v>
      </c>
      <c r="I118" s="46">
        <f ca="1">SUMPRODUCT(--(WEEKDAY(ROW(INDIRECT($E113:$E162&amp;":"&amp;$F113:$F157)),1)=3))</f>
        <v>1</v>
      </c>
      <c r="J118" s="46">
        <f ca="1">SUMPRODUCT(--(WEEKDAY(ROW(INDIRECT($E113:$E162&amp;":"&amp;$F113:$F157)),1)=4))</f>
        <v>1</v>
      </c>
      <c r="K118" s="46">
        <f ca="1">SUMPRODUCT(--(WEEKDAY(ROW(INDIRECT($E113:$E162&amp;":"&amp;$F113:$F157)),1)=5))</f>
        <v>1</v>
      </c>
      <c r="L118" s="46">
        <f ca="1">SUMPRODUCT(--(WEEKDAY(ROW(INDIRECT($E113:$E162&amp;":"&amp;$F113:$F157)),1)=6))</f>
        <v>1</v>
      </c>
      <c r="M118" s="46">
        <f ca="1">SUMPRODUCT(--(WEEKDAY(ROW(INDIRECT($E113:$E162&amp;":"&amp;$F113:$F157)),1)=7))</f>
        <v>1</v>
      </c>
      <c r="N118" s="46">
        <f t="shared" ca="1" si="40"/>
        <v>6</v>
      </c>
      <c r="O118" s="47">
        <f t="shared" si="41"/>
        <v>7</v>
      </c>
      <c r="P118" s="47"/>
      <c r="Q118" s="48"/>
      <c r="R118" s="58"/>
      <c r="S118" s="49"/>
      <c r="T118" s="50" t="s">
        <v>67</v>
      </c>
      <c r="U118" s="9" t="s">
        <v>70</v>
      </c>
      <c r="W118" s="8"/>
    </row>
    <row r="119" spans="1:26" ht="33.75" customHeight="1" x14ac:dyDescent="0.25">
      <c r="A119" s="34">
        <v>3</v>
      </c>
      <c r="B119" s="43" t="s">
        <v>214</v>
      </c>
      <c r="C119" s="44" t="s">
        <v>215</v>
      </c>
      <c r="D119" s="34" t="s">
        <v>216</v>
      </c>
      <c r="E119" s="45">
        <v>46157</v>
      </c>
      <c r="F119" s="45">
        <v>46164</v>
      </c>
      <c r="G119" s="46">
        <f ca="1">SUMPRODUCT(--(WEEKDAY(ROW(INDIRECT($E114:$E163&amp;":"&amp;$F114:$F158)),1)=1))</f>
        <v>1</v>
      </c>
      <c r="H119" s="46">
        <f ca="1">SUMPRODUCT(--(WEEKDAY(ROW(INDIRECT($E114:$E163&amp;":"&amp;$F114:$F158)),1)=2))</f>
        <v>1</v>
      </c>
      <c r="I119" s="46">
        <f ca="1">SUMPRODUCT(--(WEEKDAY(ROW(INDIRECT($E114:$E163&amp;":"&amp;$F114:$F158)),1)=3))</f>
        <v>1</v>
      </c>
      <c r="J119" s="46">
        <f ca="1">SUMPRODUCT(--(WEEKDAY(ROW(INDIRECT($E114:$E163&amp;":"&amp;$F114:$F158)),1)=4))</f>
        <v>1</v>
      </c>
      <c r="K119" s="46">
        <f ca="1">SUMPRODUCT(--(WEEKDAY(ROW(INDIRECT($E114:$E163&amp;":"&amp;$F114:$F158)),1)=5))</f>
        <v>1</v>
      </c>
      <c r="L119" s="46">
        <f ca="1">SUMPRODUCT(--(WEEKDAY(ROW(INDIRECT($E114:$E163&amp;":"&amp;$F114:$F158)),1)=6))</f>
        <v>2</v>
      </c>
      <c r="M119" s="46">
        <f ca="1">SUMPRODUCT(--(WEEKDAY(ROW(INDIRECT($E114:$E163&amp;":"&amp;$F114:$F158)),1)=7))</f>
        <v>1</v>
      </c>
      <c r="N119" s="46">
        <f t="shared" ca="1" si="40"/>
        <v>7</v>
      </c>
      <c r="O119" s="47">
        <f t="shared" si="41"/>
        <v>8</v>
      </c>
      <c r="P119" s="47"/>
      <c r="Q119" s="48"/>
      <c r="R119" s="48"/>
      <c r="S119" s="49"/>
      <c r="T119" s="50" t="s">
        <v>67</v>
      </c>
      <c r="U119" s="9" t="s">
        <v>70</v>
      </c>
      <c r="W119" s="8"/>
    </row>
    <row r="120" spans="1:26" ht="42" customHeight="1" x14ac:dyDescent="0.25">
      <c r="A120" s="34">
        <v>4</v>
      </c>
      <c r="B120" s="43" t="s">
        <v>217</v>
      </c>
      <c r="C120" s="44" t="s">
        <v>218</v>
      </c>
      <c r="D120" s="34" t="s">
        <v>219</v>
      </c>
      <c r="E120" s="45">
        <v>46161</v>
      </c>
      <c r="F120" s="45">
        <v>46165</v>
      </c>
      <c r="G120" s="46">
        <f ca="1">SUMPRODUCT(--(WEEKDAY(ROW(INDIRECT($E115:$E164&amp;":"&amp;$F115:$F159)),1)=1))</f>
        <v>0</v>
      </c>
      <c r="H120" s="46">
        <f ca="1">SUMPRODUCT(--(WEEKDAY(ROW(INDIRECT($E115:$E164&amp;":"&amp;$F115:$F159)),1)=2))</f>
        <v>0</v>
      </c>
      <c r="I120" s="46">
        <f ca="1">SUMPRODUCT(--(WEEKDAY(ROW(INDIRECT($E115:$E164&amp;":"&amp;$F115:$F159)),1)=3))</f>
        <v>1</v>
      </c>
      <c r="J120" s="46">
        <f ca="1">SUMPRODUCT(--(WEEKDAY(ROW(INDIRECT($E115:$E164&amp;":"&amp;$F115:$F159)),1)=4))</f>
        <v>1</v>
      </c>
      <c r="K120" s="46">
        <f ca="1">SUMPRODUCT(--(WEEKDAY(ROW(INDIRECT($E115:$E164&amp;":"&amp;$F115:$F159)),1)=5))</f>
        <v>1</v>
      </c>
      <c r="L120" s="46">
        <f ca="1">SUMPRODUCT(--(WEEKDAY(ROW(INDIRECT($E115:$E164&amp;":"&amp;$F115:$F159)),1)=6))</f>
        <v>1</v>
      </c>
      <c r="M120" s="46">
        <f ca="1">SUMPRODUCT(--(WEEKDAY(ROW(INDIRECT($E115:$E164&amp;":"&amp;$F115:$F159)),1)=7))</f>
        <v>1</v>
      </c>
      <c r="N120" s="46">
        <f t="shared" ca="1" si="40"/>
        <v>5</v>
      </c>
      <c r="O120" s="47">
        <f t="shared" si="41"/>
        <v>5</v>
      </c>
      <c r="P120" s="47"/>
      <c r="Q120" s="48"/>
      <c r="R120" s="58"/>
      <c r="S120" s="60"/>
      <c r="T120" s="50" t="s">
        <v>67</v>
      </c>
      <c r="U120" s="9" t="s">
        <v>70</v>
      </c>
      <c r="W120" s="8"/>
    </row>
    <row r="121" spans="1:26" ht="42" customHeight="1" x14ac:dyDescent="0.25">
      <c r="A121" s="34"/>
      <c r="B121" s="43" t="s">
        <v>220</v>
      </c>
      <c r="C121" s="44" t="s">
        <v>221</v>
      </c>
      <c r="D121" s="34" t="s">
        <v>222</v>
      </c>
      <c r="E121" s="45">
        <v>46157</v>
      </c>
      <c r="F121" s="45">
        <v>46164</v>
      </c>
      <c r="G121" s="46">
        <f ca="1">SUMPRODUCT(--(WEEKDAY(ROW(INDIRECT($E116:$E165&amp;":"&amp;$F116:$F160)),1)=1))</f>
        <v>1</v>
      </c>
      <c r="H121" s="46">
        <f ca="1">SUMPRODUCT(--(WEEKDAY(ROW(INDIRECT($E116:$E165&amp;":"&amp;$F116:$F160)),1)=2))</f>
        <v>1</v>
      </c>
      <c r="I121" s="46">
        <f ca="1">SUMPRODUCT(--(WEEKDAY(ROW(INDIRECT($E116:$E165&amp;":"&amp;$F116:$F160)),1)=3))</f>
        <v>1</v>
      </c>
      <c r="J121" s="46">
        <f ca="1">SUMPRODUCT(--(WEEKDAY(ROW(INDIRECT($E116:$E165&amp;":"&amp;$F116:$F160)),1)=4))</f>
        <v>1</v>
      </c>
      <c r="K121" s="46">
        <f ca="1">SUMPRODUCT(--(WEEKDAY(ROW(INDIRECT($E116:$E165&amp;":"&amp;$F116:$F160)),1)=5))</f>
        <v>1</v>
      </c>
      <c r="L121" s="46">
        <f ca="1">SUMPRODUCT(--(WEEKDAY(ROW(INDIRECT($E116:$E165&amp;":"&amp;$F116:$F160)),1)=6))</f>
        <v>2</v>
      </c>
      <c r="M121" s="46">
        <f ca="1">SUMPRODUCT(--(WEEKDAY(ROW(INDIRECT($E116:$E165&amp;":"&amp;$F116:$F160)),1)=7))</f>
        <v>1</v>
      </c>
      <c r="N121" s="46">
        <f t="shared" ca="1" si="40"/>
        <v>7</v>
      </c>
      <c r="O121" s="47">
        <f t="shared" si="41"/>
        <v>8</v>
      </c>
      <c r="P121" s="47"/>
      <c r="Q121" s="48"/>
      <c r="R121" s="58"/>
      <c r="S121" s="60"/>
      <c r="T121" s="50"/>
      <c r="U121" s="9"/>
      <c r="W121" s="8"/>
    </row>
    <row r="122" spans="1:26" ht="42" customHeight="1" x14ac:dyDescent="0.25">
      <c r="A122" s="34"/>
      <c r="B122" s="43" t="s">
        <v>223</v>
      </c>
      <c r="C122" s="44" t="s">
        <v>224</v>
      </c>
      <c r="D122" s="34" t="s">
        <v>225</v>
      </c>
      <c r="E122" s="45">
        <v>46161</v>
      </c>
      <c r="F122" s="45">
        <v>46164</v>
      </c>
      <c r="G122" s="46">
        <f ca="1">SUMPRODUCT(--(WEEKDAY(ROW(INDIRECT($E117:$E183&amp;":"&amp;$F117:$F161)),1)=1))</f>
        <v>0</v>
      </c>
      <c r="H122" s="46">
        <f ca="1">SUMPRODUCT(--(WEEKDAY(ROW(INDIRECT($E117:$E183&amp;":"&amp;$F117:$F161)),1)=2))</f>
        <v>0</v>
      </c>
      <c r="I122" s="46">
        <f ca="1">SUMPRODUCT(--(WEEKDAY(ROW(INDIRECT($E117:$E183&amp;":"&amp;$F117:$F161)),1)=3))</f>
        <v>1</v>
      </c>
      <c r="J122" s="46">
        <f ca="1">SUMPRODUCT(--(WEEKDAY(ROW(INDIRECT($E117:$E183&amp;":"&amp;$F117:$F161)),1)=4))</f>
        <v>1</v>
      </c>
      <c r="K122" s="46">
        <f ca="1">SUMPRODUCT(--(WEEKDAY(ROW(INDIRECT($E117:$E183&amp;":"&amp;$F117:$F161)),1)=5))</f>
        <v>1</v>
      </c>
      <c r="L122" s="46">
        <f ca="1">SUMPRODUCT(--(WEEKDAY(ROW(INDIRECT($E117:$E183&amp;":"&amp;$F117:$F161)),1)=6))</f>
        <v>1</v>
      </c>
      <c r="M122" s="46">
        <f ca="1">SUMPRODUCT(--(WEEKDAY(ROW(INDIRECT($E117:$E183&amp;":"&amp;$F117:$F161)),1)=7))</f>
        <v>0</v>
      </c>
      <c r="N122" s="46">
        <f t="shared" ref="N122:N139" ca="1" si="42">SUM(H122:M122)</f>
        <v>4</v>
      </c>
      <c r="O122" s="47">
        <f t="shared" ref="O122:O139" si="43">F122-E122+1</f>
        <v>4</v>
      </c>
      <c r="P122" s="47"/>
      <c r="Q122" s="48"/>
      <c r="R122" s="58"/>
      <c r="S122" s="60"/>
      <c r="T122" s="50"/>
      <c r="U122" s="9"/>
      <c r="W122" s="8"/>
    </row>
    <row r="123" spans="1:26" ht="42" customHeight="1" x14ac:dyDescent="0.25">
      <c r="A123" s="34"/>
      <c r="B123" s="43"/>
      <c r="C123" s="44"/>
      <c r="D123" s="34"/>
      <c r="E123" s="45"/>
      <c r="F123" s="45"/>
      <c r="G123" s="46" t="e">
        <f ca="1">SUMPRODUCT(--(WEEKDAY(ROW(INDIRECT($E118:$E184&amp;":"&amp;$F118:$F162)),1)=1))</f>
        <v>#REF!</v>
      </c>
      <c r="H123" s="46" t="e">
        <f ca="1">SUMPRODUCT(--(WEEKDAY(ROW(INDIRECT($E118:$E184&amp;":"&amp;$F118:$F162)),1)=2))</f>
        <v>#REF!</v>
      </c>
      <c r="I123" s="46" t="e">
        <f ca="1">SUMPRODUCT(--(WEEKDAY(ROW(INDIRECT($E118:$E184&amp;":"&amp;$F118:$F162)),1)=3))</f>
        <v>#REF!</v>
      </c>
      <c r="J123" s="46" t="e">
        <f ca="1">SUMPRODUCT(--(WEEKDAY(ROW(INDIRECT($E118:$E184&amp;":"&amp;$F118:$F162)),1)=4))</f>
        <v>#REF!</v>
      </c>
      <c r="K123" s="46" t="e">
        <f ca="1">SUMPRODUCT(--(WEEKDAY(ROW(INDIRECT($E118:$E184&amp;":"&amp;$F118:$F162)),1)=5))</f>
        <v>#REF!</v>
      </c>
      <c r="L123" s="46" t="e">
        <f ca="1">SUMPRODUCT(--(WEEKDAY(ROW(INDIRECT($E118:$E184&amp;":"&amp;$F118:$F162)),1)=6))</f>
        <v>#REF!</v>
      </c>
      <c r="M123" s="46" t="e">
        <f ca="1">SUMPRODUCT(--(WEEKDAY(ROW(INDIRECT($E118:$E184&amp;":"&amp;$F118:$F162)),1)=7))</f>
        <v>#REF!</v>
      </c>
      <c r="N123" s="46" t="e">
        <f t="shared" ca="1" si="42"/>
        <v>#REF!</v>
      </c>
      <c r="O123" s="47">
        <f t="shared" si="43"/>
        <v>1</v>
      </c>
      <c r="P123" s="47"/>
      <c r="Q123" s="48"/>
      <c r="R123" s="58"/>
      <c r="S123" s="60"/>
      <c r="T123" s="50"/>
      <c r="U123" s="9"/>
      <c r="W123" s="8"/>
    </row>
    <row r="124" spans="1:26" ht="42" customHeight="1" x14ac:dyDescent="0.25">
      <c r="A124" s="34"/>
      <c r="B124" s="43"/>
      <c r="C124" s="44"/>
      <c r="D124" s="34"/>
      <c r="E124" s="45"/>
      <c r="F124" s="45"/>
      <c r="G124" s="46" t="e">
        <f ca="1">SUMPRODUCT(--(WEEKDAY(ROW(INDIRECT($E119:$E185&amp;":"&amp;$F119:$F163)),1)=1))</f>
        <v>#REF!</v>
      </c>
      <c r="H124" s="46" t="e">
        <f ca="1">SUMPRODUCT(--(WEEKDAY(ROW(INDIRECT($E119:$E185&amp;":"&amp;$F119:$F163)),1)=2))</f>
        <v>#REF!</v>
      </c>
      <c r="I124" s="46" t="e">
        <f ca="1">SUMPRODUCT(--(WEEKDAY(ROW(INDIRECT($E119:$E185&amp;":"&amp;$F119:$F163)),1)=3))</f>
        <v>#REF!</v>
      </c>
      <c r="J124" s="46" t="e">
        <f ca="1">SUMPRODUCT(--(WEEKDAY(ROW(INDIRECT($E119:$E185&amp;":"&amp;$F119:$F163)),1)=4))</f>
        <v>#REF!</v>
      </c>
      <c r="K124" s="46" t="e">
        <f ca="1">SUMPRODUCT(--(WEEKDAY(ROW(INDIRECT($E119:$E185&amp;":"&amp;$F119:$F163)),1)=5))</f>
        <v>#REF!</v>
      </c>
      <c r="L124" s="46" t="e">
        <f ca="1">SUMPRODUCT(--(WEEKDAY(ROW(INDIRECT($E119:$E185&amp;":"&amp;$F119:$F163)),1)=6))</f>
        <v>#REF!</v>
      </c>
      <c r="M124" s="46" t="e">
        <f ca="1">SUMPRODUCT(--(WEEKDAY(ROW(INDIRECT($E119:$E185&amp;":"&amp;$F119:$F163)),1)=7))</f>
        <v>#REF!</v>
      </c>
      <c r="N124" s="46" t="e">
        <f t="shared" ca="1" si="42"/>
        <v>#REF!</v>
      </c>
      <c r="O124" s="47">
        <f t="shared" si="43"/>
        <v>1</v>
      </c>
      <c r="P124" s="47"/>
      <c r="Q124" s="48"/>
      <c r="R124" s="58"/>
      <c r="S124" s="60"/>
      <c r="T124" s="50"/>
      <c r="U124" s="9"/>
      <c r="W124" s="8"/>
    </row>
    <row r="125" spans="1:26" ht="42" customHeight="1" x14ac:dyDescent="0.25">
      <c r="A125" s="34"/>
      <c r="B125" s="43"/>
      <c r="C125" s="44"/>
      <c r="D125" s="34"/>
      <c r="E125" s="45"/>
      <c r="F125" s="45"/>
      <c r="G125" s="46" t="e">
        <f ca="1">SUMPRODUCT(--(WEEKDAY(ROW(INDIRECT($E120:$E186&amp;":"&amp;$F120:$F164)),1)=1))</f>
        <v>#REF!</v>
      </c>
      <c r="H125" s="46" t="e">
        <f ca="1">SUMPRODUCT(--(WEEKDAY(ROW(INDIRECT($E120:$E186&amp;":"&amp;$F120:$F164)),1)=2))</f>
        <v>#REF!</v>
      </c>
      <c r="I125" s="46" t="e">
        <f ca="1">SUMPRODUCT(--(WEEKDAY(ROW(INDIRECT($E120:$E186&amp;":"&amp;$F120:$F164)),1)=3))</f>
        <v>#REF!</v>
      </c>
      <c r="J125" s="46" t="e">
        <f ca="1">SUMPRODUCT(--(WEEKDAY(ROW(INDIRECT($E120:$E186&amp;":"&amp;$F120:$F164)),1)=4))</f>
        <v>#REF!</v>
      </c>
      <c r="K125" s="46" t="e">
        <f ca="1">SUMPRODUCT(--(WEEKDAY(ROW(INDIRECT($E120:$E186&amp;":"&amp;$F120:$F164)),1)=5))</f>
        <v>#REF!</v>
      </c>
      <c r="L125" s="46" t="e">
        <f ca="1">SUMPRODUCT(--(WEEKDAY(ROW(INDIRECT($E120:$E186&amp;":"&amp;$F120:$F164)),1)=6))</f>
        <v>#REF!</v>
      </c>
      <c r="M125" s="46" t="e">
        <f ca="1">SUMPRODUCT(--(WEEKDAY(ROW(INDIRECT($E120:$E186&amp;":"&amp;$F120:$F164)),1)=7))</f>
        <v>#REF!</v>
      </c>
      <c r="N125" s="46" t="e">
        <f t="shared" ca="1" si="42"/>
        <v>#REF!</v>
      </c>
      <c r="O125" s="47">
        <f t="shared" si="43"/>
        <v>1</v>
      </c>
      <c r="P125" s="47"/>
      <c r="Q125" s="48"/>
      <c r="R125" s="58"/>
      <c r="S125" s="60"/>
      <c r="T125" s="50"/>
      <c r="U125" s="9"/>
      <c r="W125" s="8"/>
    </row>
    <row r="126" spans="1:26" ht="42" customHeight="1" x14ac:dyDescent="0.25">
      <c r="A126" s="34"/>
      <c r="B126" s="43"/>
      <c r="C126" s="44"/>
      <c r="D126" s="34"/>
      <c r="E126" s="45"/>
      <c r="F126" s="45"/>
      <c r="G126" s="46" t="e">
        <f ca="1">SUMPRODUCT(--(WEEKDAY(ROW(INDIRECT($E121:$E187&amp;":"&amp;$F121:$F165)),1)=1))</f>
        <v>#REF!</v>
      </c>
      <c r="H126" s="46" t="e">
        <f ca="1">SUMPRODUCT(--(WEEKDAY(ROW(INDIRECT($E121:$E187&amp;":"&amp;$F121:$F165)),1)=2))</f>
        <v>#REF!</v>
      </c>
      <c r="I126" s="46" t="e">
        <f ca="1">SUMPRODUCT(--(WEEKDAY(ROW(INDIRECT($E121:$E187&amp;":"&amp;$F121:$F165)),1)=3))</f>
        <v>#REF!</v>
      </c>
      <c r="J126" s="46" t="e">
        <f ca="1">SUMPRODUCT(--(WEEKDAY(ROW(INDIRECT($E121:$E187&amp;":"&amp;$F121:$F165)),1)=4))</f>
        <v>#REF!</v>
      </c>
      <c r="K126" s="46" t="e">
        <f ca="1">SUMPRODUCT(--(WEEKDAY(ROW(INDIRECT($E121:$E187&amp;":"&amp;$F121:$F165)),1)=5))</f>
        <v>#REF!</v>
      </c>
      <c r="L126" s="46" t="e">
        <f ca="1">SUMPRODUCT(--(WEEKDAY(ROW(INDIRECT($E121:$E187&amp;":"&amp;$F121:$F165)),1)=6))</f>
        <v>#REF!</v>
      </c>
      <c r="M126" s="46" t="e">
        <f ca="1">SUMPRODUCT(--(WEEKDAY(ROW(INDIRECT($E121:$E187&amp;":"&amp;$F121:$F165)),1)=7))</f>
        <v>#REF!</v>
      </c>
      <c r="N126" s="46" t="e">
        <f t="shared" ca="1" si="42"/>
        <v>#REF!</v>
      </c>
      <c r="O126" s="47">
        <f t="shared" si="43"/>
        <v>1</v>
      </c>
      <c r="P126" s="47"/>
      <c r="Q126" s="48"/>
      <c r="R126" s="58"/>
      <c r="S126" s="60"/>
      <c r="T126" s="50"/>
      <c r="U126" s="9"/>
      <c r="W126" s="8"/>
    </row>
    <row r="127" spans="1:26" ht="42" customHeight="1" x14ac:dyDescent="0.25">
      <c r="A127" s="34"/>
      <c r="B127" s="43"/>
      <c r="C127" s="44"/>
      <c r="D127" s="34"/>
      <c r="E127" s="45"/>
      <c r="F127" s="45"/>
      <c r="G127" s="46" t="e">
        <f t="shared" ref="G127:G136" ca="1" si="44">SUMPRODUCT(--(WEEKDAY(ROW(INDIRECT($E122:$E188&amp;":"&amp;$F122:$F183)),1)=1))</f>
        <v>#REF!</v>
      </c>
      <c r="H127" s="46" t="e">
        <f t="shared" ref="H127:H136" ca="1" si="45">SUMPRODUCT(--(WEEKDAY(ROW(INDIRECT($E122:$E188&amp;":"&amp;$F122:$F183)),1)=2))</f>
        <v>#REF!</v>
      </c>
      <c r="I127" s="46" t="e">
        <f t="shared" ref="I127:I136" ca="1" si="46">SUMPRODUCT(--(WEEKDAY(ROW(INDIRECT($E122:$E188&amp;":"&amp;$F122:$F183)),1)=3))</f>
        <v>#REF!</v>
      </c>
      <c r="J127" s="46" t="e">
        <f t="shared" ref="J127:J136" ca="1" si="47">SUMPRODUCT(--(WEEKDAY(ROW(INDIRECT($E122:$E188&amp;":"&amp;$F122:$F183)),1)=4))</f>
        <v>#REF!</v>
      </c>
      <c r="K127" s="46" t="e">
        <f t="shared" ref="K127:K136" ca="1" si="48">SUMPRODUCT(--(WEEKDAY(ROW(INDIRECT($E122:$E188&amp;":"&amp;$F122:$F183)),1)=5))</f>
        <v>#REF!</v>
      </c>
      <c r="L127" s="46" t="e">
        <f t="shared" ref="L127:L136" ca="1" si="49">SUMPRODUCT(--(WEEKDAY(ROW(INDIRECT($E122:$E188&amp;":"&amp;$F122:$F183)),1)=6))</f>
        <v>#REF!</v>
      </c>
      <c r="M127" s="46" t="e">
        <f t="shared" ref="M127:M136" ca="1" si="50">SUMPRODUCT(--(WEEKDAY(ROW(INDIRECT($E122:$E188&amp;":"&amp;$F122:$F183)),1)=7))</f>
        <v>#REF!</v>
      </c>
      <c r="N127" s="46" t="e">
        <f t="shared" ca="1" si="42"/>
        <v>#REF!</v>
      </c>
      <c r="O127" s="47">
        <f t="shared" si="43"/>
        <v>1</v>
      </c>
      <c r="P127" s="47"/>
      <c r="Q127" s="48"/>
      <c r="R127" s="58"/>
      <c r="S127" s="60"/>
      <c r="T127" s="50"/>
      <c r="U127" s="9"/>
      <c r="W127" s="8"/>
    </row>
    <row r="128" spans="1:26" ht="42" customHeight="1" x14ac:dyDescent="0.25">
      <c r="A128" s="34"/>
      <c r="B128" s="43"/>
      <c r="C128" s="44"/>
      <c r="D128" s="34"/>
      <c r="E128" s="45"/>
      <c r="F128" s="45"/>
      <c r="G128" s="46" t="e">
        <f t="shared" ca="1" si="44"/>
        <v>#REF!</v>
      </c>
      <c r="H128" s="46" t="e">
        <f t="shared" ca="1" si="45"/>
        <v>#REF!</v>
      </c>
      <c r="I128" s="46" t="e">
        <f t="shared" ca="1" si="46"/>
        <v>#REF!</v>
      </c>
      <c r="J128" s="46" t="e">
        <f t="shared" ca="1" si="47"/>
        <v>#REF!</v>
      </c>
      <c r="K128" s="46" t="e">
        <f t="shared" ca="1" si="48"/>
        <v>#REF!</v>
      </c>
      <c r="L128" s="46" t="e">
        <f t="shared" ca="1" si="49"/>
        <v>#REF!</v>
      </c>
      <c r="M128" s="46" t="e">
        <f t="shared" ca="1" si="50"/>
        <v>#REF!</v>
      </c>
      <c r="N128" s="46" t="e">
        <f t="shared" ca="1" si="42"/>
        <v>#REF!</v>
      </c>
      <c r="O128" s="47">
        <f t="shared" si="43"/>
        <v>1</v>
      </c>
      <c r="P128" s="47"/>
      <c r="Q128" s="48"/>
      <c r="R128" s="58"/>
      <c r="S128" s="60"/>
      <c r="T128" s="50"/>
      <c r="U128" s="9"/>
      <c r="W128" s="8"/>
    </row>
    <row r="129" spans="1:23" ht="42" customHeight="1" x14ac:dyDescent="0.25">
      <c r="A129" s="34"/>
      <c r="B129" s="43"/>
      <c r="C129" s="44"/>
      <c r="D129" s="34"/>
      <c r="E129" s="45"/>
      <c r="F129" s="45"/>
      <c r="G129" s="46" t="e">
        <f t="shared" ca="1" si="44"/>
        <v>#REF!</v>
      </c>
      <c r="H129" s="46" t="e">
        <f t="shared" ca="1" si="45"/>
        <v>#REF!</v>
      </c>
      <c r="I129" s="46" t="e">
        <f t="shared" ca="1" si="46"/>
        <v>#REF!</v>
      </c>
      <c r="J129" s="46" t="e">
        <f t="shared" ca="1" si="47"/>
        <v>#REF!</v>
      </c>
      <c r="K129" s="46" t="e">
        <f t="shared" ca="1" si="48"/>
        <v>#REF!</v>
      </c>
      <c r="L129" s="46" t="e">
        <f t="shared" ca="1" si="49"/>
        <v>#REF!</v>
      </c>
      <c r="M129" s="46" t="e">
        <f t="shared" ca="1" si="50"/>
        <v>#REF!</v>
      </c>
      <c r="N129" s="46" t="e">
        <f t="shared" ref="N129:N136" ca="1" si="51">SUM(H129:M129)</f>
        <v>#REF!</v>
      </c>
      <c r="O129" s="47">
        <f t="shared" ref="O129:O136" si="52">F129-E129+1</f>
        <v>1</v>
      </c>
      <c r="P129" s="47"/>
      <c r="Q129" s="48"/>
      <c r="R129" s="58"/>
      <c r="S129" s="60"/>
      <c r="T129" s="50"/>
      <c r="U129" s="9"/>
      <c r="W129" s="8"/>
    </row>
    <row r="130" spans="1:23" ht="42" customHeight="1" x14ac:dyDescent="0.25">
      <c r="A130" s="34"/>
      <c r="B130" s="43"/>
      <c r="C130" s="44"/>
      <c r="D130" s="34"/>
      <c r="E130" s="45"/>
      <c r="F130" s="45"/>
      <c r="G130" s="46" t="e">
        <f t="shared" ca="1" si="44"/>
        <v>#REF!</v>
      </c>
      <c r="H130" s="46" t="e">
        <f t="shared" ca="1" si="45"/>
        <v>#REF!</v>
      </c>
      <c r="I130" s="46" t="e">
        <f t="shared" ca="1" si="46"/>
        <v>#REF!</v>
      </c>
      <c r="J130" s="46" t="e">
        <f t="shared" ca="1" si="47"/>
        <v>#REF!</v>
      </c>
      <c r="K130" s="46" t="e">
        <f t="shared" ca="1" si="48"/>
        <v>#REF!</v>
      </c>
      <c r="L130" s="46" t="e">
        <f t="shared" ca="1" si="49"/>
        <v>#REF!</v>
      </c>
      <c r="M130" s="46" t="e">
        <f t="shared" ca="1" si="50"/>
        <v>#REF!</v>
      </c>
      <c r="N130" s="46" t="e">
        <f t="shared" ca="1" si="51"/>
        <v>#REF!</v>
      </c>
      <c r="O130" s="47">
        <f t="shared" si="52"/>
        <v>1</v>
      </c>
      <c r="P130" s="47"/>
      <c r="Q130" s="48"/>
      <c r="R130" s="58"/>
      <c r="S130" s="60"/>
      <c r="T130" s="50"/>
      <c r="U130" s="9"/>
      <c r="W130" s="8"/>
    </row>
    <row r="131" spans="1:23" ht="42" customHeight="1" x14ac:dyDescent="0.25">
      <c r="A131" s="34"/>
      <c r="B131" s="43"/>
      <c r="C131" s="44"/>
      <c r="D131" s="34"/>
      <c r="E131" s="45"/>
      <c r="F131" s="45"/>
      <c r="G131" s="46" t="e">
        <f t="shared" ca="1" si="44"/>
        <v>#REF!</v>
      </c>
      <c r="H131" s="46" t="e">
        <f t="shared" ca="1" si="45"/>
        <v>#REF!</v>
      </c>
      <c r="I131" s="46" t="e">
        <f t="shared" ca="1" si="46"/>
        <v>#REF!</v>
      </c>
      <c r="J131" s="46" t="e">
        <f t="shared" ca="1" si="47"/>
        <v>#REF!</v>
      </c>
      <c r="K131" s="46" t="e">
        <f t="shared" ca="1" si="48"/>
        <v>#REF!</v>
      </c>
      <c r="L131" s="46" t="e">
        <f t="shared" ca="1" si="49"/>
        <v>#REF!</v>
      </c>
      <c r="M131" s="46" t="e">
        <f t="shared" ca="1" si="50"/>
        <v>#REF!</v>
      </c>
      <c r="N131" s="46" t="e">
        <f t="shared" ca="1" si="51"/>
        <v>#REF!</v>
      </c>
      <c r="O131" s="47">
        <f t="shared" si="52"/>
        <v>1</v>
      </c>
      <c r="P131" s="47"/>
      <c r="Q131" s="48"/>
      <c r="R131" s="58"/>
      <c r="S131" s="60"/>
      <c r="T131" s="50"/>
      <c r="U131" s="9"/>
      <c r="W131" s="8"/>
    </row>
    <row r="132" spans="1:23" ht="42" customHeight="1" x14ac:dyDescent="0.25">
      <c r="A132" s="34"/>
      <c r="B132" s="43"/>
      <c r="C132" s="44"/>
      <c r="D132" s="34"/>
      <c r="E132" s="45"/>
      <c r="F132" s="45"/>
      <c r="G132" s="46" t="e">
        <f t="shared" ca="1" si="44"/>
        <v>#REF!</v>
      </c>
      <c r="H132" s="46" t="e">
        <f t="shared" ca="1" si="45"/>
        <v>#REF!</v>
      </c>
      <c r="I132" s="46" t="e">
        <f t="shared" ca="1" si="46"/>
        <v>#REF!</v>
      </c>
      <c r="J132" s="46" t="e">
        <f t="shared" ca="1" si="47"/>
        <v>#REF!</v>
      </c>
      <c r="K132" s="46" t="e">
        <f t="shared" ca="1" si="48"/>
        <v>#REF!</v>
      </c>
      <c r="L132" s="46" t="e">
        <f t="shared" ca="1" si="49"/>
        <v>#REF!</v>
      </c>
      <c r="M132" s="46" t="e">
        <f t="shared" ca="1" si="50"/>
        <v>#REF!</v>
      </c>
      <c r="N132" s="46" t="e">
        <f t="shared" ca="1" si="51"/>
        <v>#REF!</v>
      </c>
      <c r="O132" s="47">
        <f t="shared" si="52"/>
        <v>1</v>
      </c>
      <c r="P132" s="47"/>
      <c r="Q132" s="48"/>
      <c r="R132" s="58"/>
      <c r="S132" s="60"/>
      <c r="T132" s="50"/>
      <c r="U132" s="9"/>
      <c r="W132" s="8"/>
    </row>
    <row r="133" spans="1:23" ht="42" customHeight="1" x14ac:dyDescent="0.25">
      <c r="A133" s="34"/>
      <c r="B133" s="43"/>
      <c r="C133" s="44"/>
      <c r="D133" s="34"/>
      <c r="E133" s="45"/>
      <c r="F133" s="45"/>
      <c r="G133" s="46" t="e">
        <f t="shared" ca="1" si="44"/>
        <v>#REF!</v>
      </c>
      <c r="H133" s="46" t="e">
        <f t="shared" ca="1" si="45"/>
        <v>#REF!</v>
      </c>
      <c r="I133" s="46" t="e">
        <f t="shared" ca="1" si="46"/>
        <v>#REF!</v>
      </c>
      <c r="J133" s="46" t="e">
        <f t="shared" ca="1" si="47"/>
        <v>#REF!</v>
      </c>
      <c r="K133" s="46" t="e">
        <f t="shared" ca="1" si="48"/>
        <v>#REF!</v>
      </c>
      <c r="L133" s="46" t="e">
        <f t="shared" ca="1" si="49"/>
        <v>#REF!</v>
      </c>
      <c r="M133" s="46" t="e">
        <f t="shared" ca="1" si="50"/>
        <v>#REF!</v>
      </c>
      <c r="N133" s="46" t="e">
        <f t="shared" ca="1" si="51"/>
        <v>#REF!</v>
      </c>
      <c r="O133" s="47">
        <f t="shared" si="52"/>
        <v>1</v>
      </c>
      <c r="P133" s="47"/>
      <c r="Q133" s="48"/>
      <c r="R133" s="58"/>
      <c r="S133" s="60"/>
      <c r="T133" s="50"/>
      <c r="U133" s="9"/>
      <c r="W133" s="8"/>
    </row>
    <row r="134" spans="1:23" ht="42" customHeight="1" x14ac:dyDescent="0.25">
      <c r="A134" s="34"/>
      <c r="B134" s="43"/>
      <c r="C134" s="44"/>
      <c r="D134" s="34"/>
      <c r="E134" s="45"/>
      <c r="F134" s="45"/>
      <c r="G134" s="46" t="e">
        <f t="shared" ca="1" si="44"/>
        <v>#REF!</v>
      </c>
      <c r="H134" s="46" t="e">
        <f t="shared" ca="1" si="45"/>
        <v>#REF!</v>
      </c>
      <c r="I134" s="46" t="e">
        <f t="shared" ca="1" si="46"/>
        <v>#REF!</v>
      </c>
      <c r="J134" s="46" t="e">
        <f t="shared" ca="1" si="47"/>
        <v>#REF!</v>
      </c>
      <c r="K134" s="46" t="e">
        <f t="shared" ca="1" si="48"/>
        <v>#REF!</v>
      </c>
      <c r="L134" s="46" t="e">
        <f t="shared" ca="1" si="49"/>
        <v>#REF!</v>
      </c>
      <c r="M134" s="46" t="e">
        <f t="shared" ca="1" si="50"/>
        <v>#REF!</v>
      </c>
      <c r="N134" s="46" t="e">
        <f t="shared" ca="1" si="51"/>
        <v>#REF!</v>
      </c>
      <c r="O134" s="47">
        <f t="shared" si="52"/>
        <v>1</v>
      </c>
      <c r="P134" s="47"/>
      <c r="Q134" s="48"/>
      <c r="R134" s="58"/>
      <c r="S134" s="60"/>
      <c r="T134" s="50"/>
      <c r="U134" s="9"/>
      <c r="W134" s="8"/>
    </row>
    <row r="135" spans="1:23" ht="42" customHeight="1" x14ac:dyDescent="0.25">
      <c r="A135" s="34"/>
      <c r="B135" s="43"/>
      <c r="C135" s="44"/>
      <c r="D135" s="34"/>
      <c r="E135" s="45"/>
      <c r="F135" s="45"/>
      <c r="G135" s="46" t="e">
        <f t="shared" ca="1" si="44"/>
        <v>#REF!</v>
      </c>
      <c r="H135" s="46" t="e">
        <f t="shared" ca="1" si="45"/>
        <v>#REF!</v>
      </c>
      <c r="I135" s="46" t="e">
        <f t="shared" ca="1" si="46"/>
        <v>#REF!</v>
      </c>
      <c r="J135" s="46" t="e">
        <f t="shared" ca="1" si="47"/>
        <v>#REF!</v>
      </c>
      <c r="K135" s="46" t="e">
        <f t="shared" ca="1" si="48"/>
        <v>#REF!</v>
      </c>
      <c r="L135" s="46" t="e">
        <f t="shared" ca="1" si="49"/>
        <v>#REF!</v>
      </c>
      <c r="M135" s="46" t="e">
        <f t="shared" ca="1" si="50"/>
        <v>#REF!</v>
      </c>
      <c r="N135" s="46" t="e">
        <f t="shared" ca="1" si="51"/>
        <v>#REF!</v>
      </c>
      <c r="O135" s="47">
        <f t="shared" si="52"/>
        <v>1</v>
      </c>
      <c r="P135" s="47"/>
      <c r="Q135" s="48"/>
      <c r="R135" s="58"/>
      <c r="S135" s="60"/>
      <c r="T135" s="50"/>
      <c r="U135" s="9"/>
      <c r="W135" s="8"/>
    </row>
    <row r="136" spans="1:23" ht="42" customHeight="1" x14ac:dyDescent="0.25">
      <c r="A136" s="34"/>
      <c r="B136" s="43"/>
      <c r="C136" s="44"/>
      <c r="D136" s="34"/>
      <c r="E136" s="45"/>
      <c r="F136" s="45"/>
      <c r="G136" s="46" t="e">
        <f t="shared" ca="1" si="44"/>
        <v>#REF!</v>
      </c>
      <c r="H136" s="46" t="e">
        <f t="shared" ca="1" si="45"/>
        <v>#REF!</v>
      </c>
      <c r="I136" s="46" t="e">
        <f t="shared" ca="1" si="46"/>
        <v>#REF!</v>
      </c>
      <c r="J136" s="46" t="e">
        <f t="shared" ca="1" si="47"/>
        <v>#REF!</v>
      </c>
      <c r="K136" s="46" t="e">
        <f t="shared" ca="1" si="48"/>
        <v>#REF!</v>
      </c>
      <c r="L136" s="46" t="e">
        <f t="shared" ca="1" si="49"/>
        <v>#REF!</v>
      </c>
      <c r="M136" s="46" t="e">
        <f t="shared" ca="1" si="50"/>
        <v>#REF!</v>
      </c>
      <c r="N136" s="46" t="e">
        <f t="shared" ca="1" si="51"/>
        <v>#REF!</v>
      </c>
      <c r="O136" s="47">
        <f t="shared" si="52"/>
        <v>1</v>
      </c>
      <c r="P136" s="47"/>
      <c r="Q136" s="48"/>
      <c r="R136" s="58"/>
      <c r="S136" s="60"/>
      <c r="T136" s="50"/>
      <c r="U136" s="9"/>
      <c r="W136" s="8"/>
    </row>
    <row r="137" spans="1:23" ht="42" customHeight="1" x14ac:dyDescent="0.25">
      <c r="A137" s="34"/>
      <c r="B137" s="43"/>
      <c r="C137" s="44"/>
      <c r="D137" s="34"/>
      <c r="E137" s="45"/>
      <c r="F137" s="45"/>
      <c r="G137" s="46" t="e">
        <f ca="1">SUMPRODUCT(--(WEEKDAY(ROW(INDIRECT($E124:$E190&amp;":"&amp;$F124:$F185)),1)=1))</f>
        <v>#REF!</v>
      </c>
      <c r="H137" s="46" t="e">
        <f ca="1">SUMPRODUCT(--(WEEKDAY(ROW(INDIRECT($E124:$E190&amp;":"&amp;$F124:$F185)),1)=2))</f>
        <v>#REF!</v>
      </c>
      <c r="I137" s="46" t="e">
        <f ca="1">SUMPRODUCT(--(WEEKDAY(ROW(INDIRECT($E124:$E190&amp;":"&amp;$F124:$F185)),1)=3))</f>
        <v>#REF!</v>
      </c>
      <c r="J137" s="46" t="e">
        <f ca="1">SUMPRODUCT(--(WEEKDAY(ROW(INDIRECT($E124:$E190&amp;":"&amp;$F124:$F185)),1)=4))</f>
        <v>#REF!</v>
      </c>
      <c r="K137" s="46" t="e">
        <f ca="1">SUMPRODUCT(--(WEEKDAY(ROW(INDIRECT($E124:$E190&amp;":"&amp;$F124:$F185)),1)=5))</f>
        <v>#REF!</v>
      </c>
      <c r="L137" s="46" t="e">
        <f ca="1">SUMPRODUCT(--(WEEKDAY(ROW(INDIRECT($E124:$E190&amp;":"&amp;$F124:$F185)),1)=6))</f>
        <v>#REF!</v>
      </c>
      <c r="M137" s="46" t="e">
        <f ca="1">SUMPRODUCT(--(WEEKDAY(ROW(INDIRECT($E124:$E190&amp;":"&amp;$F124:$F185)),1)=7))</f>
        <v>#REF!</v>
      </c>
      <c r="N137" s="46" t="e">
        <f t="shared" ca="1" si="42"/>
        <v>#REF!</v>
      </c>
      <c r="O137" s="47">
        <f t="shared" si="43"/>
        <v>1</v>
      </c>
      <c r="P137" s="47"/>
      <c r="Q137" s="48"/>
      <c r="R137" s="58"/>
      <c r="S137" s="60"/>
      <c r="T137" s="50"/>
      <c r="U137" s="9"/>
      <c r="W137" s="8"/>
    </row>
    <row r="138" spans="1:23" ht="42" customHeight="1" x14ac:dyDescent="0.25">
      <c r="A138" s="34"/>
      <c r="B138" s="43"/>
      <c r="C138" s="44"/>
      <c r="D138" s="34"/>
      <c r="E138" s="45"/>
      <c r="F138" s="45"/>
      <c r="G138" s="46" t="e">
        <f ca="1">SUMPRODUCT(--(WEEKDAY(ROW(INDIRECT($E125:$E191&amp;":"&amp;$F125:$F186)),1)=1))</f>
        <v>#REF!</v>
      </c>
      <c r="H138" s="46" t="e">
        <f ca="1">SUMPRODUCT(--(WEEKDAY(ROW(INDIRECT($E125:$E191&amp;":"&amp;$F125:$F186)),1)=2))</f>
        <v>#REF!</v>
      </c>
      <c r="I138" s="46" t="e">
        <f ca="1">SUMPRODUCT(--(WEEKDAY(ROW(INDIRECT($E125:$E191&amp;":"&amp;$F125:$F186)),1)=3))</f>
        <v>#REF!</v>
      </c>
      <c r="J138" s="46" t="e">
        <f ca="1">SUMPRODUCT(--(WEEKDAY(ROW(INDIRECT($E125:$E191&amp;":"&amp;$F125:$F186)),1)=4))</f>
        <v>#REF!</v>
      </c>
      <c r="K138" s="46" t="e">
        <f ca="1">SUMPRODUCT(--(WEEKDAY(ROW(INDIRECT($E125:$E191&amp;":"&amp;$F125:$F186)),1)=5))</f>
        <v>#REF!</v>
      </c>
      <c r="L138" s="46" t="e">
        <f ca="1">SUMPRODUCT(--(WEEKDAY(ROW(INDIRECT($E125:$E191&amp;":"&amp;$F125:$F186)),1)=6))</f>
        <v>#REF!</v>
      </c>
      <c r="M138" s="46" t="e">
        <f ca="1">SUMPRODUCT(--(WEEKDAY(ROW(INDIRECT($E125:$E191&amp;":"&amp;$F125:$F186)),1)=7))</f>
        <v>#REF!</v>
      </c>
      <c r="N138" s="46" t="e">
        <f t="shared" ca="1" si="42"/>
        <v>#REF!</v>
      </c>
      <c r="O138" s="47">
        <f t="shared" si="43"/>
        <v>1</v>
      </c>
      <c r="P138" s="47"/>
      <c r="Q138" s="48"/>
      <c r="R138" s="58"/>
      <c r="S138" s="60"/>
      <c r="T138" s="50"/>
      <c r="U138" s="9"/>
      <c r="W138" s="8"/>
    </row>
    <row r="139" spans="1:23" ht="42" customHeight="1" x14ac:dyDescent="0.25">
      <c r="A139" s="34"/>
      <c r="B139" s="43"/>
      <c r="C139" s="44"/>
      <c r="D139" s="34"/>
      <c r="E139" s="45"/>
      <c r="F139" s="45"/>
      <c r="G139" s="46" t="e">
        <f ca="1">SUMPRODUCT(--(WEEKDAY(ROW(INDIRECT($E126:$E192&amp;":"&amp;$F126:$F187)),1)=1))</f>
        <v>#REF!</v>
      </c>
      <c r="H139" s="46" t="e">
        <f ca="1">SUMPRODUCT(--(WEEKDAY(ROW(INDIRECT($E126:$E192&amp;":"&amp;$F126:$F187)),1)=2))</f>
        <v>#REF!</v>
      </c>
      <c r="I139" s="46" t="e">
        <f ca="1">SUMPRODUCT(--(WEEKDAY(ROW(INDIRECT($E126:$E192&amp;":"&amp;$F126:$F187)),1)=3))</f>
        <v>#REF!</v>
      </c>
      <c r="J139" s="46" t="e">
        <f ca="1">SUMPRODUCT(--(WEEKDAY(ROW(INDIRECT($E126:$E192&amp;":"&amp;$F126:$F187)),1)=4))</f>
        <v>#REF!</v>
      </c>
      <c r="K139" s="46" t="e">
        <f ca="1">SUMPRODUCT(--(WEEKDAY(ROW(INDIRECT($E126:$E192&amp;":"&amp;$F126:$F187)),1)=5))</f>
        <v>#REF!</v>
      </c>
      <c r="L139" s="46" t="e">
        <f ca="1">SUMPRODUCT(--(WEEKDAY(ROW(INDIRECT($E126:$E192&amp;":"&amp;$F126:$F187)),1)=6))</f>
        <v>#REF!</v>
      </c>
      <c r="M139" s="46" t="e">
        <f ca="1">SUMPRODUCT(--(WEEKDAY(ROW(INDIRECT($E126:$E192&amp;":"&amp;$F126:$F187)),1)=7))</f>
        <v>#REF!</v>
      </c>
      <c r="N139" s="46" t="e">
        <f t="shared" ca="1" si="42"/>
        <v>#REF!</v>
      </c>
      <c r="O139" s="47">
        <f t="shared" si="43"/>
        <v>1</v>
      </c>
      <c r="P139" s="47"/>
      <c r="Q139" s="48"/>
      <c r="R139" s="58"/>
      <c r="S139" s="60"/>
      <c r="T139" s="50"/>
      <c r="U139" s="9"/>
      <c r="W139" s="8"/>
    </row>
    <row r="140" spans="1:23" ht="37.5" customHeight="1" x14ac:dyDescent="0.25">
      <c r="A140" s="34"/>
      <c r="B140" s="43"/>
      <c r="C140" s="44"/>
      <c r="D140" s="34"/>
      <c r="E140" s="45"/>
      <c r="F140" s="45"/>
      <c r="G140" s="46" t="e">
        <f ca="1">SUMPRODUCT(--(WEEKDAY(ROW(INDIRECT($E117:$E183&amp;":"&amp;$F117:$F161)),1)=1))</f>
        <v>#REF!</v>
      </c>
      <c r="H140" s="46" t="e">
        <f ca="1">SUMPRODUCT(--(WEEKDAY(ROW(INDIRECT($E117:$E183&amp;":"&amp;$F117:$F161)),1)=2))</f>
        <v>#REF!</v>
      </c>
      <c r="I140" s="46" t="e">
        <f ca="1">SUMPRODUCT(--(WEEKDAY(ROW(INDIRECT($E117:$E183&amp;":"&amp;$F117:$F161)),1)=3))</f>
        <v>#REF!</v>
      </c>
      <c r="J140" s="46" t="e">
        <f ca="1">SUMPRODUCT(--(WEEKDAY(ROW(INDIRECT($E117:$E183&amp;":"&amp;$F117:$F161)),1)=4))</f>
        <v>#REF!</v>
      </c>
      <c r="K140" s="46" t="e">
        <f ca="1">SUMPRODUCT(--(WEEKDAY(ROW(INDIRECT($E117:$E183&amp;":"&amp;$F117:$F161)),1)=5))</f>
        <v>#REF!</v>
      </c>
      <c r="L140" s="46" t="e">
        <f ca="1">SUMPRODUCT(--(WEEKDAY(ROW(INDIRECT($E117:$E183&amp;":"&amp;$F117:$F161)),1)=6))</f>
        <v>#REF!</v>
      </c>
      <c r="M140" s="46" t="e">
        <f ca="1">SUMPRODUCT(--(WEEKDAY(ROW(INDIRECT($E117:$E183&amp;":"&amp;$F117:$F161)),1)=7))</f>
        <v>#REF!</v>
      </c>
      <c r="N140" s="46" t="e">
        <f t="shared" ca="1" si="40"/>
        <v>#REF!</v>
      </c>
      <c r="O140" s="47">
        <f t="shared" si="41"/>
        <v>1</v>
      </c>
      <c r="P140" s="47"/>
      <c r="Q140" s="48"/>
      <c r="R140" s="58"/>
      <c r="S140" s="49"/>
      <c r="T140" s="50" t="s">
        <v>67</v>
      </c>
      <c r="U140" s="9" t="s">
        <v>70</v>
      </c>
      <c r="W140" s="8"/>
    </row>
    <row r="141" spans="1:23" ht="31.5" customHeight="1" x14ac:dyDescent="0.25">
      <c r="A141" s="122" t="s">
        <v>62</v>
      </c>
      <c r="B141" s="123"/>
      <c r="C141" s="123"/>
      <c r="D141" s="123"/>
      <c r="E141" s="123"/>
      <c r="F141" s="124"/>
      <c r="G141" s="51"/>
      <c r="H141" s="51"/>
      <c r="I141" s="51"/>
      <c r="J141" s="51"/>
      <c r="K141" s="51"/>
      <c r="L141" s="51"/>
      <c r="M141" s="51"/>
      <c r="N141" s="51"/>
      <c r="O141" s="52">
        <v>32</v>
      </c>
      <c r="P141" s="35"/>
      <c r="Q141" s="48"/>
      <c r="R141" s="34"/>
      <c r="S141" s="49"/>
      <c r="U141" s="61"/>
    </row>
    <row r="142" spans="1:23" ht="31.5" customHeight="1" x14ac:dyDescent="0.25">
      <c r="A142" s="55" t="s">
        <v>68</v>
      </c>
      <c r="B142" s="36"/>
      <c r="C142" s="56" t="s">
        <v>71</v>
      </c>
      <c r="D142" s="35"/>
      <c r="E142" s="39"/>
      <c r="F142" s="39"/>
      <c r="G142" s="42" t="s">
        <v>31</v>
      </c>
      <c r="H142" s="42" t="s">
        <v>32</v>
      </c>
      <c r="I142" s="42" t="s">
        <v>33</v>
      </c>
      <c r="J142" s="42" t="s">
        <v>34</v>
      </c>
      <c r="K142" s="42" t="s">
        <v>35</v>
      </c>
      <c r="L142" s="42" t="s">
        <v>36</v>
      </c>
      <c r="M142" s="42" t="s">
        <v>37</v>
      </c>
      <c r="N142" s="42" t="s">
        <v>38</v>
      </c>
      <c r="O142" s="35"/>
      <c r="P142" s="35"/>
      <c r="Q142" s="57"/>
      <c r="R142" s="35"/>
      <c r="S142" s="41"/>
      <c r="T142" s="2"/>
      <c r="U142" s="7"/>
    </row>
    <row r="143" spans="1:23" ht="33.75" customHeight="1" x14ac:dyDescent="0.25">
      <c r="A143" s="34">
        <v>1</v>
      </c>
      <c r="B143" s="43"/>
      <c r="C143" s="44"/>
      <c r="D143" s="34"/>
      <c r="E143" s="45"/>
      <c r="F143" s="45"/>
      <c r="G143" s="46" t="e">
        <f ca="1">SUMPRODUCT(--(WEEKDAY(ROW(INDIRECT($E120:$E186&amp;":"&amp;$F120:$F164)),1)=1))</f>
        <v>#REF!</v>
      </c>
      <c r="H143" s="46" t="e">
        <f ca="1">SUMPRODUCT(--(WEEKDAY(ROW(INDIRECT($E120:$E186&amp;":"&amp;$F120:$F164)),1)=2))</f>
        <v>#REF!</v>
      </c>
      <c r="I143" s="46" t="e">
        <f ca="1">SUMPRODUCT(--(WEEKDAY(ROW(INDIRECT($E120:$E186&amp;":"&amp;$F120:$F164)),1)=3))</f>
        <v>#REF!</v>
      </c>
      <c r="J143" s="46" t="e">
        <f ca="1">SUMPRODUCT(--(WEEKDAY(ROW(INDIRECT($E120:$E186&amp;":"&amp;$F120:$F164)),1)=4))</f>
        <v>#REF!</v>
      </c>
      <c r="K143" s="46" t="e">
        <f ca="1">SUMPRODUCT(--(WEEKDAY(ROW(INDIRECT($E120:$E186&amp;":"&amp;$F120:$F164)),1)=5))</f>
        <v>#REF!</v>
      </c>
      <c r="L143" s="46" t="e">
        <f ca="1">SUMPRODUCT(--(WEEKDAY(ROW(INDIRECT($E120:$E186&amp;":"&amp;$F120:$F164)),1)=6))</f>
        <v>#REF!</v>
      </c>
      <c r="M143" s="46" t="e">
        <f ca="1">SUMPRODUCT(--(WEEKDAY(ROW(INDIRECT($E120:$E186&amp;":"&amp;$F120:$F164)),1)=7))</f>
        <v>#REF!</v>
      </c>
      <c r="N143" s="46" t="e">
        <f t="shared" ref="N143:N157" ca="1" si="53">SUM(H143:M143)</f>
        <v>#REF!</v>
      </c>
      <c r="O143" s="47">
        <f t="shared" ref="O143:O157" si="54">F143-E143+1</f>
        <v>1</v>
      </c>
      <c r="P143" s="47"/>
      <c r="Q143" s="48"/>
      <c r="R143" s="58"/>
      <c r="S143" s="49"/>
      <c r="T143" s="50" t="s">
        <v>67</v>
      </c>
      <c r="U143" s="9" t="s">
        <v>70</v>
      </c>
      <c r="W143" s="8"/>
    </row>
    <row r="144" spans="1:23" ht="33.75" customHeight="1" x14ac:dyDescent="0.25">
      <c r="A144" s="34">
        <v>1</v>
      </c>
      <c r="B144" s="43"/>
      <c r="C144" s="44"/>
      <c r="D144" s="34"/>
      <c r="E144" s="45"/>
      <c r="F144" s="45"/>
      <c r="G144" s="46" t="e">
        <f ca="1">SUMPRODUCT(--(WEEKDAY(ROW(INDIRECT($E121:$E187&amp;":"&amp;$F121:$F165)),1)=1))</f>
        <v>#REF!</v>
      </c>
      <c r="H144" s="46" t="e">
        <f ca="1">SUMPRODUCT(--(WEEKDAY(ROW(INDIRECT($E121:$E187&amp;":"&amp;$F121:$F165)),1)=2))</f>
        <v>#REF!</v>
      </c>
      <c r="I144" s="46" t="e">
        <f ca="1">SUMPRODUCT(--(WEEKDAY(ROW(INDIRECT($E121:$E187&amp;":"&amp;$F121:$F165)),1)=3))</f>
        <v>#REF!</v>
      </c>
      <c r="J144" s="46" t="e">
        <f ca="1">SUMPRODUCT(--(WEEKDAY(ROW(INDIRECT($E121:$E187&amp;":"&amp;$F121:$F165)),1)=4))</f>
        <v>#REF!</v>
      </c>
      <c r="K144" s="46" t="e">
        <f ca="1">SUMPRODUCT(--(WEEKDAY(ROW(INDIRECT($E121:$E187&amp;":"&amp;$F121:$F165)),1)=5))</f>
        <v>#REF!</v>
      </c>
      <c r="L144" s="46" t="e">
        <f ca="1">SUMPRODUCT(--(WEEKDAY(ROW(INDIRECT($E121:$E187&amp;":"&amp;$F121:$F165)),1)=6))</f>
        <v>#REF!</v>
      </c>
      <c r="M144" s="46" t="e">
        <f ca="1">SUMPRODUCT(--(WEEKDAY(ROW(INDIRECT($E121:$E187&amp;":"&amp;$F121:$F165)),1)=7))</f>
        <v>#REF!</v>
      </c>
      <c r="N144" s="46" t="e">
        <f t="shared" ref="N144:N153" ca="1" si="55">SUM(H144:M144)</f>
        <v>#REF!</v>
      </c>
      <c r="O144" s="47">
        <f t="shared" ref="O144:O153" si="56">F144-E144+1</f>
        <v>1</v>
      </c>
      <c r="P144" s="47"/>
      <c r="Q144" s="48"/>
      <c r="R144" s="58"/>
      <c r="S144" s="49"/>
      <c r="T144" s="50" t="s">
        <v>67</v>
      </c>
      <c r="U144" s="9" t="s">
        <v>70</v>
      </c>
      <c r="W144" s="8"/>
    </row>
    <row r="145" spans="1:23" ht="33.75" customHeight="1" x14ac:dyDescent="0.25">
      <c r="A145" s="34">
        <v>1</v>
      </c>
      <c r="B145" s="43"/>
      <c r="C145" s="44"/>
      <c r="D145" s="34"/>
      <c r="E145" s="45"/>
      <c r="F145" s="45"/>
      <c r="G145" s="46" t="e">
        <f t="shared" ref="G145:G151" ca="1" si="57">SUMPRODUCT(--(WEEKDAY(ROW(INDIRECT($E122:$E188&amp;":"&amp;$F122:$F183)),1)=1))</f>
        <v>#REF!</v>
      </c>
      <c r="H145" s="46" t="e">
        <f t="shared" ref="H145:H151" ca="1" si="58">SUMPRODUCT(--(WEEKDAY(ROW(INDIRECT($E122:$E188&amp;":"&amp;$F122:$F183)),1)=2))</f>
        <v>#REF!</v>
      </c>
      <c r="I145" s="46" t="e">
        <f t="shared" ref="I145:I151" ca="1" si="59">SUMPRODUCT(--(WEEKDAY(ROW(INDIRECT($E122:$E188&amp;":"&amp;$F122:$F183)),1)=3))</f>
        <v>#REF!</v>
      </c>
      <c r="J145" s="46" t="e">
        <f t="shared" ref="J145:J151" ca="1" si="60">SUMPRODUCT(--(WEEKDAY(ROW(INDIRECT($E122:$E188&amp;":"&amp;$F122:$F183)),1)=4))</f>
        <v>#REF!</v>
      </c>
      <c r="K145" s="46" t="e">
        <f t="shared" ref="K145:K151" ca="1" si="61">SUMPRODUCT(--(WEEKDAY(ROW(INDIRECT($E122:$E188&amp;":"&amp;$F122:$F183)),1)=5))</f>
        <v>#REF!</v>
      </c>
      <c r="L145" s="46" t="e">
        <f t="shared" ref="L145:L151" ca="1" si="62">SUMPRODUCT(--(WEEKDAY(ROW(INDIRECT($E122:$E188&amp;":"&amp;$F122:$F183)),1)=6))</f>
        <v>#REF!</v>
      </c>
      <c r="M145" s="46" t="e">
        <f t="shared" ref="M145:M151" ca="1" si="63">SUMPRODUCT(--(WEEKDAY(ROW(INDIRECT($E122:$E188&amp;":"&amp;$F122:$F183)),1)=7))</f>
        <v>#REF!</v>
      </c>
      <c r="N145" s="46" t="e">
        <f t="shared" ca="1" si="55"/>
        <v>#REF!</v>
      </c>
      <c r="O145" s="47">
        <f t="shared" si="56"/>
        <v>1</v>
      </c>
      <c r="P145" s="47"/>
      <c r="Q145" s="48"/>
      <c r="R145" s="58"/>
      <c r="S145" s="49"/>
      <c r="T145" s="50" t="s">
        <v>67</v>
      </c>
      <c r="U145" s="9" t="s">
        <v>70</v>
      </c>
      <c r="W145" s="8"/>
    </row>
    <row r="146" spans="1:23" ht="33.75" customHeight="1" x14ac:dyDescent="0.25">
      <c r="A146" s="34">
        <v>1</v>
      </c>
      <c r="B146" s="43"/>
      <c r="C146" s="44"/>
      <c r="D146" s="34"/>
      <c r="E146" s="45"/>
      <c r="F146" s="45"/>
      <c r="G146" s="46" t="e">
        <f t="shared" ca="1" si="57"/>
        <v>#REF!</v>
      </c>
      <c r="H146" s="46" t="e">
        <f t="shared" ca="1" si="58"/>
        <v>#REF!</v>
      </c>
      <c r="I146" s="46" t="e">
        <f t="shared" ca="1" si="59"/>
        <v>#REF!</v>
      </c>
      <c r="J146" s="46" t="e">
        <f t="shared" ca="1" si="60"/>
        <v>#REF!</v>
      </c>
      <c r="K146" s="46" t="e">
        <f t="shared" ca="1" si="61"/>
        <v>#REF!</v>
      </c>
      <c r="L146" s="46" t="e">
        <f t="shared" ca="1" si="62"/>
        <v>#REF!</v>
      </c>
      <c r="M146" s="46" t="e">
        <f t="shared" ca="1" si="63"/>
        <v>#REF!</v>
      </c>
      <c r="N146" s="46" t="e">
        <f t="shared" ca="1" si="55"/>
        <v>#REF!</v>
      </c>
      <c r="O146" s="47">
        <f t="shared" si="56"/>
        <v>1</v>
      </c>
      <c r="P146" s="47"/>
      <c r="Q146" s="48"/>
      <c r="R146" s="58"/>
      <c r="S146" s="49"/>
      <c r="T146" s="50" t="s">
        <v>67</v>
      </c>
      <c r="U146" s="9" t="s">
        <v>70</v>
      </c>
      <c r="W146" s="8"/>
    </row>
    <row r="147" spans="1:23" ht="33.75" customHeight="1" x14ac:dyDescent="0.25">
      <c r="A147" s="34">
        <v>1</v>
      </c>
      <c r="B147" s="43"/>
      <c r="C147" s="44"/>
      <c r="D147" s="34"/>
      <c r="E147" s="45"/>
      <c r="F147" s="45"/>
      <c r="G147" s="46" t="e">
        <f t="shared" ca="1" si="57"/>
        <v>#REF!</v>
      </c>
      <c r="H147" s="46" t="e">
        <f t="shared" ca="1" si="58"/>
        <v>#REF!</v>
      </c>
      <c r="I147" s="46" t="e">
        <f t="shared" ca="1" si="59"/>
        <v>#REF!</v>
      </c>
      <c r="J147" s="46" t="e">
        <f t="shared" ca="1" si="60"/>
        <v>#REF!</v>
      </c>
      <c r="K147" s="46" t="e">
        <f t="shared" ca="1" si="61"/>
        <v>#REF!</v>
      </c>
      <c r="L147" s="46" t="e">
        <f t="shared" ca="1" si="62"/>
        <v>#REF!</v>
      </c>
      <c r="M147" s="46" t="e">
        <f t="shared" ca="1" si="63"/>
        <v>#REF!</v>
      </c>
      <c r="N147" s="46" t="e">
        <f t="shared" ca="1" si="55"/>
        <v>#REF!</v>
      </c>
      <c r="O147" s="47">
        <f t="shared" si="56"/>
        <v>1</v>
      </c>
      <c r="P147" s="47"/>
      <c r="Q147" s="48"/>
      <c r="R147" s="58"/>
      <c r="S147" s="49"/>
      <c r="T147" s="50" t="s">
        <v>67</v>
      </c>
      <c r="U147" s="9" t="s">
        <v>70</v>
      </c>
      <c r="W147" s="8"/>
    </row>
    <row r="148" spans="1:23" ht="33.75" customHeight="1" x14ac:dyDescent="0.25">
      <c r="A148" s="34">
        <v>1</v>
      </c>
      <c r="B148" s="43"/>
      <c r="C148" s="44"/>
      <c r="D148" s="34"/>
      <c r="E148" s="45"/>
      <c r="F148" s="45"/>
      <c r="G148" s="46" t="e">
        <f t="shared" ca="1" si="57"/>
        <v>#REF!</v>
      </c>
      <c r="H148" s="46" t="e">
        <f t="shared" ca="1" si="58"/>
        <v>#REF!</v>
      </c>
      <c r="I148" s="46" t="e">
        <f t="shared" ca="1" si="59"/>
        <v>#REF!</v>
      </c>
      <c r="J148" s="46" t="e">
        <f t="shared" ca="1" si="60"/>
        <v>#REF!</v>
      </c>
      <c r="K148" s="46" t="e">
        <f t="shared" ca="1" si="61"/>
        <v>#REF!</v>
      </c>
      <c r="L148" s="46" t="e">
        <f t="shared" ca="1" si="62"/>
        <v>#REF!</v>
      </c>
      <c r="M148" s="46" t="e">
        <f t="shared" ca="1" si="63"/>
        <v>#REF!</v>
      </c>
      <c r="N148" s="46" t="e">
        <f t="shared" ca="1" si="55"/>
        <v>#REF!</v>
      </c>
      <c r="O148" s="47">
        <f t="shared" si="56"/>
        <v>1</v>
      </c>
      <c r="P148" s="47"/>
      <c r="Q148" s="48"/>
      <c r="R148" s="58"/>
      <c r="S148" s="49"/>
      <c r="T148" s="50" t="s">
        <v>67</v>
      </c>
      <c r="U148" s="9" t="s">
        <v>70</v>
      </c>
      <c r="W148" s="8"/>
    </row>
    <row r="149" spans="1:23" ht="33.75" customHeight="1" x14ac:dyDescent="0.25">
      <c r="A149" s="34">
        <v>1</v>
      </c>
      <c r="B149" s="43"/>
      <c r="C149" s="44"/>
      <c r="D149" s="34"/>
      <c r="E149" s="45"/>
      <c r="F149" s="45"/>
      <c r="G149" s="46" t="e">
        <f t="shared" ca="1" si="57"/>
        <v>#REF!</v>
      </c>
      <c r="H149" s="46" t="e">
        <f t="shared" ca="1" si="58"/>
        <v>#REF!</v>
      </c>
      <c r="I149" s="46" t="e">
        <f t="shared" ca="1" si="59"/>
        <v>#REF!</v>
      </c>
      <c r="J149" s="46" t="e">
        <f t="shared" ca="1" si="60"/>
        <v>#REF!</v>
      </c>
      <c r="K149" s="46" t="e">
        <f t="shared" ca="1" si="61"/>
        <v>#REF!</v>
      </c>
      <c r="L149" s="46" t="e">
        <f t="shared" ca="1" si="62"/>
        <v>#REF!</v>
      </c>
      <c r="M149" s="46" t="e">
        <f t="shared" ca="1" si="63"/>
        <v>#REF!</v>
      </c>
      <c r="N149" s="46" t="e">
        <f t="shared" ca="1" si="55"/>
        <v>#REF!</v>
      </c>
      <c r="O149" s="47">
        <f t="shared" si="56"/>
        <v>1</v>
      </c>
      <c r="P149" s="47"/>
      <c r="Q149" s="48"/>
      <c r="R149" s="58"/>
      <c r="S149" s="49"/>
      <c r="T149" s="50" t="s">
        <v>67</v>
      </c>
      <c r="U149" s="9" t="s">
        <v>70</v>
      </c>
      <c r="W149" s="8"/>
    </row>
    <row r="150" spans="1:23" ht="33.75" customHeight="1" x14ac:dyDescent="0.25">
      <c r="A150" s="34">
        <v>1</v>
      </c>
      <c r="B150" s="43"/>
      <c r="C150" s="44"/>
      <c r="D150" s="34"/>
      <c r="E150" s="45"/>
      <c r="F150" s="45"/>
      <c r="G150" s="46" t="e">
        <f t="shared" ca="1" si="57"/>
        <v>#REF!</v>
      </c>
      <c r="H150" s="46" t="e">
        <f t="shared" ca="1" si="58"/>
        <v>#REF!</v>
      </c>
      <c r="I150" s="46" t="e">
        <f t="shared" ca="1" si="59"/>
        <v>#REF!</v>
      </c>
      <c r="J150" s="46" t="e">
        <f t="shared" ca="1" si="60"/>
        <v>#REF!</v>
      </c>
      <c r="K150" s="46" t="e">
        <f t="shared" ca="1" si="61"/>
        <v>#REF!</v>
      </c>
      <c r="L150" s="46" t="e">
        <f t="shared" ca="1" si="62"/>
        <v>#REF!</v>
      </c>
      <c r="M150" s="46" t="e">
        <f t="shared" ca="1" si="63"/>
        <v>#REF!</v>
      </c>
      <c r="N150" s="46" t="e">
        <f t="shared" ca="1" si="55"/>
        <v>#REF!</v>
      </c>
      <c r="O150" s="47">
        <f t="shared" si="56"/>
        <v>1</v>
      </c>
      <c r="P150" s="47"/>
      <c r="Q150" s="48"/>
      <c r="R150" s="58"/>
      <c r="S150" s="49"/>
      <c r="T150" s="50" t="s">
        <v>67</v>
      </c>
      <c r="U150" s="9" t="s">
        <v>70</v>
      </c>
      <c r="W150" s="8"/>
    </row>
    <row r="151" spans="1:23" ht="33.75" customHeight="1" x14ac:dyDescent="0.25">
      <c r="A151" s="34">
        <v>1</v>
      </c>
      <c r="B151" s="43"/>
      <c r="C151" s="44"/>
      <c r="D151" s="34"/>
      <c r="E151" s="45"/>
      <c r="F151" s="45"/>
      <c r="G151" s="46" t="e">
        <f t="shared" ca="1" si="57"/>
        <v>#REF!</v>
      </c>
      <c r="H151" s="46" t="e">
        <f t="shared" ca="1" si="58"/>
        <v>#REF!</v>
      </c>
      <c r="I151" s="46" t="e">
        <f t="shared" ca="1" si="59"/>
        <v>#REF!</v>
      </c>
      <c r="J151" s="46" t="e">
        <f t="shared" ca="1" si="60"/>
        <v>#REF!</v>
      </c>
      <c r="K151" s="46" t="e">
        <f t="shared" ca="1" si="61"/>
        <v>#REF!</v>
      </c>
      <c r="L151" s="46" t="e">
        <f t="shared" ca="1" si="62"/>
        <v>#REF!</v>
      </c>
      <c r="M151" s="46" t="e">
        <f t="shared" ca="1" si="63"/>
        <v>#REF!</v>
      </c>
      <c r="N151" s="46" t="e">
        <f t="shared" ca="1" si="55"/>
        <v>#REF!</v>
      </c>
      <c r="O151" s="47">
        <f t="shared" si="56"/>
        <v>1</v>
      </c>
      <c r="P151" s="47"/>
      <c r="Q151" s="48"/>
      <c r="R151" s="58"/>
      <c r="S151" s="49"/>
      <c r="T151" s="50" t="s">
        <v>67</v>
      </c>
      <c r="U151" s="9" t="s">
        <v>70</v>
      </c>
      <c r="W151" s="8"/>
    </row>
    <row r="152" spans="1:23" ht="33.75" customHeight="1" x14ac:dyDescent="0.25">
      <c r="A152" s="34">
        <v>1</v>
      </c>
      <c r="B152" s="43"/>
      <c r="C152" s="44"/>
      <c r="D152" s="34"/>
      <c r="E152" s="45"/>
      <c r="F152" s="45"/>
      <c r="G152" s="46" t="e">
        <f ca="1">SUMPRODUCT(--(WEEKDAY(ROW(INDIRECT($E137:$E195&amp;":"&amp;$F137:$F190)),1)=1))</f>
        <v>#REF!</v>
      </c>
      <c r="H152" s="46" t="e">
        <f ca="1">SUMPRODUCT(--(WEEKDAY(ROW(INDIRECT($E137:$E195&amp;":"&amp;$F137:$F190)),1)=2))</f>
        <v>#REF!</v>
      </c>
      <c r="I152" s="46" t="e">
        <f ca="1">SUMPRODUCT(--(WEEKDAY(ROW(INDIRECT($E137:$E195&amp;":"&amp;$F137:$F190)),1)=3))</f>
        <v>#REF!</v>
      </c>
      <c r="J152" s="46" t="e">
        <f ca="1">SUMPRODUCT(--(WEEKDAY(ROW(INDIRECT($E137:$E195&amp;":"&amp;$F137:$F190)),1)=4))</f>
        <v>#REF!</v>
      </c>
      <c r="K152" s="46" t="e">
        <f ca="1">SUMPRODUCT(--(WEEKDAY(ROW(INDIRECT($E137:$E195&amp;":"&amp;$F137:$F190)),1)=5))</f>
        <v>#REF!</v>
      </c>
      <c r="L152" s="46" t="e">
        <f ca="1">SUMPRODUCT(--(WEEKDAY(ROW(INDIRECT($E137:$E195&amp;":"&amp;$F137:$F190)),1)=6))</f>
        <v>#REF!</v>
      </c>
      <c r="M152" s="46" t="e">
        <f ca="1">SUMPRODUCT(--(WEEKDAY(ROW(INDIRECT($E137:$E195&amp;":"&amp;$F137:$F190)),1)=7))</f>
        <v>#REF!</v>
      </c>
      <c r="N152" s="46" t="e">
        <f t="shared" ca="1" si="55"/>
        <v>#REF!</v>
      </c>
      <c r="O152" s="47">
        <f t="shared" si="56"/>
        <v>1</v>
      </c>
      <c r="P152" s="47"/>
      <c r="Q152" s="48"/>
      <c r="R152" s="58"/>
      <c r="S152" s="49"/>
      <c r="T152" s="50" t="s">
        <v>67</v>
      </c>
      <c r="U152" s="9" t="s">
        <v>70</v>
      </c>
      <c r="W152" s="8"/>
    </row>
    <row r="153" spans="1:23" ht="33.75" customHeight="1" x14ac:dyDescent="0.25">
      <c r="A153" s="34">
        <v>1</v>
      </c>
      <c r="B153" s="43"/>
      <c r="C153" s="44"/>
      <c r="D153" s="34"/>
      <c r="E153" s="45"/>
      <c r="F153" s="45"/>
      <c r="G153" s="46" t="e">
        <f ca="1">SUMPRODUCT(--(WEEKDAY(ROW(INDIRECT($E138:$E196&amp;":"&amp;$F138:$F191)),1)=1))</f>
        <v>#REF!</v>
      </c>
      <c r="H153" s="46" t="e">
        <f ca="1">SUMPRODUCT(--(WEEKDAY(ROW(INDIRECT($E138:$E196&amp;":"&amp;$F138:$F191)),1)=2))</f>
        <v>#REF!</v>
      </c>
      <c r="I153" s="46" t="e">
        <f ca="1">SUMPRODUCT(--(WEEKDAY(ROW(INDIRECT($E138:$E196&amp;":"&amp;$F138:$F191)),1)=3))</f>
        <v>#REF!</v>
      </c>
      <c r="J153" s="46" t="e">
        <f ca="1">SUMPRODUCT(--(WEEKDAY(ROW(INDIRECT($E138:$E196&amp;":"&amp;$F138:$F191)),1)=4))</f>
        <v>#REF!</v>
      </c>
      <c r="K153" s="46" t="e">
        <f ca="1">SUMPRODUCT(--(WEEKDAY(ROW(INDIRECT($E138:$E196&amp;":"&amp;$F138:$F191)),1)=5))</f>
        <v>#REF!</v>
      </c>
      <c r="L153" s="46" t="e">
        <f ca="1">SUMPRODUCT(--(WEEKDAY(ROW(INDIRECT($E138:$E196&amp;":"&amp;$F138:$F191)),1)=6))</f>
        <v>#REF!</v>
      </c>
      <c r="M153" s="46" t="e">
        <f ca="1">SUMPRODUCT(--(WEEKDAY(ROW(INDIRECT($E138:$E196&amp;":"&amp;$F138:$F191)),1)=7))</f>
        <v>#REF!</v>
      </c>
      <c r="N153" s="46" t="e">
        <f t="shared" ca="1" si="55"/>
        <v>#REF!</v>
      </c>
      <c r="O153" s="47">
        <f t="shared" si="56"/>
        <v>1</v>
      </c>
      <c r="P153" s="47"/>
      <c r="Q153" s="48"/>
      <c r="R153" s="58"/>
      <c r="S153" s="49"/>
      <c r="T153" s="50" t="s">
        <v>67</v>
      </c>
      <c r="U153" s="9" t="s">
        <v>70</v>
      </c>
      <c r="W153" s="8"/>
    </row>
    <row r="154" spans="1:23" ht="33.75" customHeight="1" x14ac:dyDescent="0.25">
      <c r="A154" s="34">
        <v>2</v>
      </c>
      <c r="B154" s="43"/>
      <c r="C154" s="44"/>
      <c r="D154" s="34"/>
      <c r="E154" s="45"/>
      <c r="F154" s="45"/>
      <c r="G154" s="46" t="e">
        <f ca="1">SUMPRODUCT(--(WEEKDAY(ROW(INDIRECT($E121:$E187&amp;":"&amp;$F121:$F165)),1)=1))</f>
        <v>#REF!</v>
      </c>
      <c r="H154" s="46" t="e">
        <f ca="1">SUMPRODUCT(--(WEEKDAY(ROW(INDIRECT($E121:$E187&amp;":"&amp;$F121:$F165)),1)=2))</f>
        <v>#REF!</v>
      </c>
      <c r="I154" s="46" t="e">
        <f ca="1">SUMPRODUCT(--(WEEKDAY(ROW(INDIRECT($E121:$E187&amp;":"&amp;$F121:$F165)),1)=3))</f>
        <v>#REF!</v>
      </c>
      <c r="J154" s="46" t="e">
        <f ca="1">SUMPRODUCT(--(WEEKDAY(ROW(INDIRECT($E121:$E187&amp;":"&amp;$F121:$F165)),1)=4))</f>
        <v>#REF!</v>
      </c>
      <c r="K154" s="46" t="e">
        <f ca="1">SUMPRODUCT(--(WEEKDAY(ROW(INDIRECT($E121:$E187&amp;":"&amp;$F121:$F165)),1)=5))</f>
        <v>#REF!</v>
      </c>
      <c r="L154" s="46" t="e">
        <f ca="1">SUMPRODUCT(--(WEEKDAY(ROW(INDIRECT($E121:$E187&amp;":"&amp;$F121:$F165)),1)=6))</f>
        <v>#REF!</v>
      </c>
      <c r="M154" s="46" t="e">
        <f ca="1">SUMPRODUCT(--(WEEKDAY(ROW(INDIRECT($E121:$E187&amp;":"&amp;$F121:$F165)),1)=7))</f>
        <v>#REF!</v>
      </c>
      <c r="N154" s="46" t="e">
        <f t="shared" ca="1" si="53"/>
        <v>#REF!</v>
      </c>
      <c r="O154" s="47">
        <f t="shared" si="54"/>
        <v>1</v>
      </c>
      <c r="P154" s="47"/>
      <c r="Q154" s="48"/>
      <c r="R154" s="58"/>
      <c r="S154" s="49"/>
      <c r="T154" s="50" t="s">
        <v>67</v>
      </c>
      <c r="U154" s="9" t="s">
        <v>72</v>
      </c>
      <c r="W154" s="8"/>
    </row>
    <row r="155" spans="1:23" ht="37.5" customHeight="1" x14ac:dyDescent="0.25">
      <c r="A155" s="34">
        <v>3</v>
      </c>
      <c r="B155" s="43"/>
      <c r="C155" s="44"/>
      <c r="D155" s="34"/>
      <c r="E155" s="45"/>
      <c r="F155" s="45"/>
      <c r="G155" s="46" t="e">
        <f ca="1">SUMPRODUCT(--(WEEKDAY(ROW(INDIRECT($E140:$E188&amp;":"&amp;$F140:$F183)),1)=1))</f>
        <v>#REF!</v>
      </c>
      <c r="H155" s="46" t="e">
        <f ca="1">SUMPRODUCT(--(WEEKDAY(ROW(INDIRECT($E140:$E188&amp;":"&amp;$F140:$F183)),1)=2))</f>
        <v>#REF!</v>
      </c>
      <c r="I155" s="46" t="e">
        <f ca="1">SUMPRODUCT(--(WEEKDAY(ROW(INDIRECT($E140:$E188&amp;":"&amp;$F140:$F183)),1)=3))</f>
        <v>#REF!</v>
      </c>
      <c r="J155" s="46" t="e">
        <f ca="1">SUMPRODUCT(--(WEEKDAY(ROW(INDIRECT($E140:$E188&amp;":"&amp;$F140:$F183)),1)=4))</f>
        <v>#REF!</v>
      </c>
      <c r="K155" s="46" t="e">
        <f ca="1">SUMPRODUCT(--(WEEKDAY(ROW(INDIRECT($E140:$E188&amp;":"&amp;$F140:$F183)),1)=5))</f>
        <v>#REF!</v>
      </c>
      <c r="L155" s="46" t="e">
        <f ca="1">SUMPRODUCT(--(WEEKDAY(ROW(INDIRECT($E140:$E188&amp;":"&amp;$F140:$F183)),1)=6))</f>
        <v>#REF!</v>
      </c>
      <c r="M155" s="46" t="e">
        <f ca="1">SUMPRODUCT(--(WEEKDAY(ROW(INDIRECT($E140:$E188&amp;":"&amp;$F140:$F183)),1)=7))</f>
        <v>#REF!</v>
      </c>
      <c r="N155" s="46" t="e">
        <f t="shared" ca="1" si="53"/>
        <v>#REF!</v>
      </c>
      <c r="O155" s="47">
        <f t="shared" si="54"/>
        <v>1</v>
      </c>
      <c r="P155" s="47"/>
      <c r="Q155" s="48"/>
      <c r="R155" s="58"/>
      <c r="S155" s="49"/>
      <c r="T155" s="50" t="s">
        <v>67</v>
      </c>
      <c r="U155" s="9" t="s">
        <v>72</v>
      </c>
      <c r="W155" s="8"/>
    </row>
    <row r="156" spans="1:23" ht="37.5" customHeight="1" x14ac:dyDescent="0.25">
      <c r="A156" s="34">
        <v>4</v>
      </c>
      <c r="B156" s="43"/>
      <c r="C156" s="44"/>
      <c r="D156" s="34"/>
      <c r="E156" s="45"/>
      <c r="F156" s="45"/>
      <c r="G156" s="46" t="e">
        <f ca="1">SUMPRODUCT(--(WEEKDAY(ROW(INDIRECT($E141:$E189&amp;":"&amp;$F141:$F184)),1)=1))</f>
        <v>#REF!</v>
      </c>
      <c r="H156" s="46" t="e">
        <f ca="1">SUMPRODUCT(--(WEEKDAY(ROW(INDIRECT($E141:$E189&amp;":"&amp;$F141:$F184)),1)=2))</f>
        <v>#REF!</v>
      </c>
      <c r="I156" s="46" t="e">
        <f ca="1">SUMPRODUCT(--(WEEKDAY(ROW(INDIRECT($E141:$E189&amp;":"&amp;$F141:$F184)),1)=3))</f>
        <v>#REF!</v>
      </c>
      <c r="J156" s="46" t="e">
        <f ca="1">SUMPRODUCT(--(WEEKDAY(ROW(INDIRECT($E141:$E189&amp;":"&amp;$F141:$F184)),1)=4))</f>
        <v>#REF!</v>
      </c>
      <c r="K156" s="46" t="e">
        <f ca="1">SUMPRODUCT(--(WEEKDAY(ROW(INDIRECT($E141:$E189&amp;":"&amp;$F141:$F184)),1)=5))</f>
        <v>#REF!</v>
      </c>
      <c r="L156" s="46" t="e">
        <f ca="1">SUMPRODUCT(--(WEEKDAY(ROW(INDIRECT($E141:$E189&amp;":"&amp;$F141:$F184)),1)=6))</f>
        <v>#REF!</v>
      </c>
      <c r="M156" s="46" t="e">
        <f ca="1">SUMPRODUCT(--(WEEKDAY(ROW(INDIRECT($E141:$E189&amp;":"&amp;$F141:$F184)),1)=7))</f>
        <v>#REF!</v>
      </c>
      <c r="N156" s="46" t="e">
        <f t="shared" ca="1" si="53"/>
        <v>#REF!</v>
      </c>
      <c r="O156" s="47">
        <f t="shared" si="54"/>
        <v>1</v>
      </c>
      <c r="P156" s="47"/>
      <c r="Q156" s="48"/>
      <c r="R156" s="58"/>
      <c r="S156" s="49"/>
      <c r="T156" s="50" t="s">
        <v>67</v>
      </c>
      <c r="U156" s="9" t="s">
        <v>70</v>
      </c>
      <c r="W156" s="8"/>
    </row>
    <row r="157" spans="1:23" ht="37.5" customHeight="1" x14ac:dyDescent="0.25">
      <c r="A157" s="34">
        <v>5</v>
      </c>
      <c r="B157" s="43"/>
      <c r="C157" s="44"/>
      <c r="D157" s="34"/>
      <c r="E157" s="45"/>
      <c r="F157" s="45"/>
      <c r="G157" s="46" t="e">
        <f ca="1">SUMPRODUCT(--(WEEKDAY(ROW(INDIRECT($E142:$E190&amp;":"&amp;$F142:$F185)),1)=1))</f>
        <v>#REF!</v>
      </c>
      <c r="H157" s="46" t="e">
        <f ca="1">SUMPRODUCT(--(WEEKDAY(ROW(INDIRECT($E142:$E190&amp;":"&amp;$F142:$F185)),1)=2))</f>
        <v>#REF!</v>
      </c>
      <c r="I157" s="46" t="e">
        <f ca="1">SUMPRODUCT(--(WEEKDAY(ROW(INDIRECT($E142:$E190&amp;":"&amp;$F142:$F185)),1)=3))</f>
        <v>#REF!</v>
      </c>
      <c r="J157" s="46" t="e">
        <f ca="1">SUMPRODUCT(--(WEEKDAY(ROW(INDIRECT($E142:$E190&amp;":"&amp;$F142:$F185)),1)=4))</f>
        <v>#REF!</v>
      </c>
      <c r="K157" s="46" t="e">
        <f ca="1">SUMPRODUCT(--(WEEKDAY(ROW(INDIRECT($E142:$E190&amp;":"&amp;$F142:$F185)),1)=5))</f>
        <v>#REF!</v>
      </c>
      <c r="L157" s="46" t="e">
        <f ca="1">SUMPRODUCT(--(WEEKDAY(ROW(INDIRECT($E142:$E190&amp;":"&amp;$F142:$F185)),1)=6))</f>
        <v>#REF!</v>
      </c>
      <c r="M157" s="46" t="e">
        <f ca="1">SUMPRODUCT(--(WEEKDAY(ROW(INDIRECT($E142:$E190&amp;":"&amp;$F142:$F185)),1)=7))</f>
        <v>#REF!</v>
      </c>
      <c r="N157" s="46" t="e">
        <f t="shared" ca="1" si="53"/>
        <v>#REF!</v>
      </c>
      <c r="O157" s="47">
        <f t="shared" si="54"/>
        <v>1</v>
      </c>
      <c r="P157" s="47"/>
      <c r="Q157" s="48"/>
      <c r="R157" s="58"/>
      <c r="S157" s="49"/>
      <c r="T157" s="50" t="s">
        <v>67</v>
      </c>
      <c r="U157" s="9" t="s">
        <v>70</v>
      </c>
      <c r="W157" s="8"/>
    </row>
    <row r="158" spans="1:23" ht="31.5" customHeight="1" x14ac:dyDescent="0.25">
      <c r="A158" s="122" t="s">
        <v>62</v>
      </c>
      <c r="B158" s="123"/>
      <c r="C158" s="123"/>
      <c r="D158" s="123"/>
      <c r="E158" s="123"/>
      <c r="F158" s="124"/>
      <c r="G158" s="51"/>
      <c r="H158" s="51"/>
      <c r="I158" s="51"/>
      <c r="J158" s="51"/>
      <c r="K158" s="51"/>
      <c r="L158" s="51"/>
      <c r="M158" s="51"/>
      <c r="N158" s="51"/>
      <c r="O158" s="52">
        <v>16</v>
      </c>
      <c r="P158" s="35"/>
      <c r="Q158" s="48"/>
      <c r="R158" s="34"/>
      <c r="S158" s="49"/>
      <c r="U158" s="61"/>
      <c r="W158" s="8"/>
    </row>
    <row r="159" spans="1:23" ht="31.5" customHeight="1" x14ac:dyDescent="0.25">
      <c r="A159" s="35" t="s">
        <v>23</v>
      </c>
      <c r="B159" s="36"/>
      <c r="C159" s="62" t="s">
        <v>73</v>
      </c>
      <c r="D159" s="63"/>
      <c r="E159" s="63"/>
      <c r="F159" s="63"/>
      <c r="G159" s="63"/>
      <c r="H159" s="63"/>
      <c r="I159" s="63"/>
      <c r="J159" s="63"/>
      <c r="K159" s="63"/>
      <c r="L159" s="63"/>
      <c r="M159" s="63"/>
      <c r="N159" s="63"/>
      <c r="O159" s="63"/>
      <c r="P159" s="63"/>
      <c r="Q159" s="64"/>
      <c r="R159" s="65"/>
      <c r="S159" s="66"/>
      <c r="T159" s="2"/>
      <c r="U159" s="7"/>
    </row>
    <row r="160" spans="1:23" ht="31.5" customHeight="1" x14ac:dyDescent="0.25">
      <c r="A160" s="35" t="s">
        <v>29</v>
      </c>
      <c r="B160" s="36"/>
      <c r="C160" s="38" t="s">
        <v>74</v>
      </c>
      <c r="D160" s="35"/>
      <c r="E160" s="39"/>
      <c r="F160" s="39"/>
      <c r="G160" s="42" t="s">
        <v>31</v>
      </c>
      <c r="H160" s="42" t="s">
        <v>32</v>
      </c>
      <c r="I160" s="42" t="s">
        <v>33</v>
      </c>
      <c r="J160" s="42" t="s">
        <v>34</v>
      </c>
      <c r="K160" s="42" t="s">
        <v>35</v>
      </c>
      <c r="L160" s="42" t="s">
        <v>36</v>
      </c>
      <c r="M160" s="42" t="s">
        <v>37</v>
      </c>
      <c r="N160" s="42" t="s">
        <v>38</v>
      </c>
      <c r="O160" s="35"/>
      <c r="P160" s="35"/>
      <c r="Q160" s="40"/>
      <c r="R160" s="35"/>
      <c r="S160" s="41"/>
      <c r="T160" s="2"/>
      <c r="U160" s="7"/>
    </row>
    <row r="161" spans="1:23" ht="31.5" customHeight="1" x14ac:dyDescent="0.25">
      <c r="A161" s="34">
        <v>1</v>
      </c>
      <c r="B161" s="43" t="s">
        <v>226</v>
      </c>
      <c r="C161" s="44" t="s">
        <v>227</v>
      </c>
      <c r="D161" s="34" t="s">
        <v>228</v>
      </c>
      <c r="E161" s="45">
        <v>46162</v>
      </c>
      <c r="F161" s="45">
        <v>46163</v>
      </c>
      <c r="G161" s="46">
        <f ca="1">SUMPRODUCT(--(WEEKDAY(ROW(INDIRECT($E156:$E194&amp;":"&amp;$F156:$F189)),1)=1))</f>
        <v>0</v>
      </c>
      <c r="H161" s="46">
        <f ca="1">SUMPRODUCT(--(WEEKDAY(ROW(INDIRECT($E156:$E194&amp;":"&amp;$F156:$F189)),1)=2))</f>
        <v>0</v>
      </c>
      <c r="I161" s="46">
        <f ca="1">SUMPRODUCT(--(WEEKDAY(ROW(INDIRECT($E156:$E194&amp;":"&amp;$F156:$F189)),1)=3))</f>
        <v>0</v>
      </c>
      <c r="J161" s="46">
        <f ca="1">SUMPRODUCT(--(WEEKDAY(ROW(INDIRECT($E156:$E194&amp;":"&amp;$F156:$F189)),1)=4))</f>
        <v>1</v>
      </c>
      <c r="K161" s="46">
        <f ca="1">SUMPRODUCT(--(WEEKDAY(ROW(INDIRECT($E156:$E194&amp;":"&amp;$F156:$F189)),1)=5))</f>
        <v>1</v>
      </c>
      <c r="L161" s="46">
        <f ca="1">SUMPRODUCT(--(WEEKDAY(ROW(INDIRECT($E156:$E194&amp;":"&amp;$F156:$F189)),1)=6))</f>
        <v>0</v>
      </c>
      <c r="M161" s="46">
        <f ca="1">SUMPRODUCT(--(WEEKDAY(ROW(INDIRECT($E156:$E194&amp;":"&amp;$F156:$F189)),1)=7))</f>
        <v>0</v>
      </c>
      <c r="N161" s="46">
        <f t="shared" ref="N161:N183" ca="1" si="64">SUM(H161:M161)</f>
        <v>2</v>
      </c>
      <c r="O161" s="47">
        <f t="shared" ref="O161:O183" si="65">F161-E161+1</f>
        <v>2</v>
      </c>
      <c r="P161" s="47"/>
      <c r="Q161" s="48"/>
      <c r="R161" s="34"/>
      <c r="S161" s="49"/>
      <c r="T161" s="9" t="s">
        <v>74</v>
      </c>
      <c r="U161" s="9"/>
      <c r="V161" s="67" t="s">
        <v>75</v>
      </c>
      <c r="W161" s="8"/>
    </row>
    <row r="162" spans="1:23" ht="31.5" customHeight="1" x14ac:dyDescent="0.25">
      <c r="A162" s="34">
        <v>2</v>
      </c>
      <c r="B162" s="43" t="s">
        <v>229</v>
      </c>
      <c r="C162" s="44" t="s">
        <v>230</v>
      </c>
      <c r="D162" s="34" t="s">
        <v>231</v>
      </c>
      <c r="E162" s="45">
        <v>46161</v>
      </c>
      <c r="F162" s="45">
        <v>46161</v>
      </c>
      <c r="G162" s="46">
        <f ca="1">SUMPRODUCT(--(WEEKDAY(ROW(INDIRECT($E157:$E195&amp;":"&amp;$F157:$F190)),1)=1))</f>
        <v>0</v>
      </c>
      <c r="H162" s="46">
        <f ca="1">SUMPRODUCT(--(WEEKDAY(ROW(INDIRECT($E157:$E195&amp;":"&amp;$F157:$F190)),1)=2))</f>
        <v>0</v>
      </c>
      <c r="I162" s="46">
        <f ca="1">SUMPRODUCT(--(WEEKDAY(ROW(INDIRECT($E157:$E195&amp;":"&amp;$F157:$F190)),1)=3))</f>
        <v>1</v>
      </c>
      <c r="J162" s="46">
        <f ca="1">SUMPRODUCT(--(WEEKDAY(ROW(INDIRECT($E157:$E195&amp;":"&amp;$F157:$F190)),1)=4))</f>
        <v>0</v>
      </c>
      <c r="K162" s="46">
        <f ca="1">SUMPRODUCT(--(WEEKDAY(ROW(INDIRECT($E157:$E195&amp;":"&amp;$F157:$F190)),1)=5))</f>
        <v>0</v>
      </c>
      <c r="L162" s="46">
        <f ca="1">SUMPRODUCT(--(WEEKDAY(ROW(INDIRECT($E157:$E195&amp;":"&amp;$F157:$F190)),1)=6))</f>
        <v>0</v>
      </c>
      <c r="M162" s="46">
        <f ca="1">SUMPRODUCT(--(WEEKDAY(ROW(INDIRECT($E157:$E195&amp;":"&amp;$F157:$F190)),1)=7))</f>
        <v>0</v>
      </c>
      <c r="N162" s="46">
        <f t="shared" ca="1" si="64"/>
        <v>1</v>
      </c>
      <c r="O162" s="47">
        <f t="shared" si="65"/>
        <v>1</v>
      </c>
      <c r="P162" s="47"/>
      <c r="Q162" s="48"/>
      <c r="R162" s="34"/>
      <c r="S162" s="49"/>
      <c r="T162" s="9" t="s">
        <v>74</v>
      </c>
      <c r="U162" s="9"/>
      <c r="V162" s="67" t="s">
        <v>76</v>
      </c>
      <c r="W162" s="8"/>
    </row>
    <row r="163" spans="1:23" ht="31.5" customHeight="1" x14ac:dyDescent="0.25">
      <c r="A163" s="34">
        <v>3</v>
      </c>
      <c r="B163" s="43" t="s">
        <v>232</v>
      </c>
      <c r="C163" s="44" t="s">
        <v>233</v>
      </c>
      <c r="D163" s="34" t="s">
        <v>234</v>
      </c>
      <c r="E163" s="45">
        <v>46163</v>
      </c>
      <c r="F163" s="45">
        <v>46164</v>
      </c>
      <c r="G163" s="46">
        <f ca="1">SUMPRODUCT(--(WEEKDAY(ROW(INDIRECT($E158:$E196&amp;":"&amp;$F158:$F191)),1)=1))</f>
        <v>0</v>
      </c>
      <c r="H163" s="46">
        <f ca="1">SUMPRODUCT(--(WEEKDAY(ROW(INDIRECT($E158:$E196&amp;":"&amp;$F158:$F191)),1)=2))</f>
        <v>0</v>
      </c>
      <c r="I163" s="46">
        <f ca="1">SUMPRODUCT(--(WEEKDAY(ROW(INDIRECT($E158:$E196&amp;":"&amp;$F158:$F191)),1)=3))</f>
        <v>0</v>
      </c>
      <c r="J163" s="46">
        <f ca="1">SUMPRODUCT(--(WEEKDAY(ROW(INDIRECT($E158:$E196&amp;":"&amp;$F158:$F191)),1)=4))</f>
        <v>0</v>
      </c>
      <c r="K163" s="46">
        <f ca="1">SUMPRODUCT(--(WEEKDAY(ROW(INDIRECT($E158:$E196&amp;":"&amp;$F158:$F191)),1)=5))</f>
        <v>1</v>
      </c>
      <c r="L163" s="46">
        <f ca="1">SUMPRODUCT(--(WEEKDAY(ROW(INDIRECT($E158:$E196&amp;":"&amp;$F158:$F191)),1)=6))</f>
        <v>1</v>
      </c>
      <c r="M163" s="46">
        <f ca="1">SUMPRODUCT(--(WEEKDAY(ROW(INDIRECT($E158:$E196&amp;":"&amp;$F158:$F191)),1)=7))</f>
        <v>0</v>
      </c>
      <c r="N163" s="46">
        <f t="shared" ca="1" si="64"/>
        <v>2</v>
      </c>
      <c r="O163" s="47">
        <f t="shared" si="65"/>
        <v>2</v>
      </c>
      <c r="P163" s="47"/>
      <c r="Q163" s="48"/>
      <c r="R163" s="34"/>
      <c r="S163" s="49"/>
      <c r="T163" s="9" t="s">
        <v>74</v>
      </c>
      <c r="U163" s="9"/>
      <c r="V163" s="67" t="s">
        <v>77</v>
      </c>
      <c r="W163" s="8"/>
    </row>
    <row r="164" spans="1:23" ht="31.5" customHeight="1" x14ac:dyDescent="0.25">
      <c r="A164" s="34"/>
      <c r="B164" s="43" t="s">
        <v>235</v>
      </c>
      <c r="C164" s="44" t="s">
        <v>236</v>
      </c>
      <c r="D164" s="34" t="s">
        <v>237</v>
      </c>
      <c r="E164" s="45">
        <v>46165</v>
      </c>
      <c r="F164" s="45">
        <v>46165</v>
      </c>
      <c r="G164" s="46">
        <f ca="1">SUMPRODUCT(--(WEEKDAY(ROW(INDIRECT($E159:$E197&amp;":"&amp;$F159:$F192)),1)=1))</f>
        <v>0</v>
      </c>
      <c r="H164" s="46">
        <f ca="1">SUMPRODUCT(--(WEEKDAY(ROW(INDIRECT($E159:$E197&amp;":"&amp;$F159:$F192)),1)=2))</f>
        <v>0</v>
      </c>
      <c r="I164" s="46">
        <f ca="1">SUMPRODUCT(--(WEEKDAY(ROW(INDIRECT($E159:$E197&amp;":"&amp;$F159:$F192)),1)=3))</f>
        <v>0</v>
      </c>
      <c r="J164" s="46">
        <f ca="1">SUMPRODUCT(--(WEEKDAY(ROW(INDIRECT($E159:$E197&amp;":"&amp;$F159:$F192)),1)=4))</f>
        <v>0</v>
      </c>
      <c r="K164" s="46">
        <f ca="1">SUMPRODUCT(--(WEEKDAY(ROW(INDIRECT($E159:$E197&amp;":"&amp;$F159:$F192)),1)=5))</f>
        <v>0</v>
      </c>
      <c r="L164" s="46">
        <f ca="1">SUMPRODUCT(--(WEEKDAY(ROW(INDIRECT($E159:$E197&amp;":"&amp;$F159:$F192)),1)=6))</f>
        <v>0</v>
      </c>
      <c r="M164" s="46">
        <f ca="1">SUMPRODUCT(--(WEEKDAY(ROW(INDIRECT($E159:$E197&amp;":"&amp;$F159:$F192)),1)=7))</f>
        <v>1</v>
      </c>
      <c r="N164" s="46">
        <f t="shared" ca="1" si="64"/>
        <v>1</v>
      </c>
      <c r="O164" s="47">
        <f t="shared" si="65"/>
        <v>1</v>
      </c>
      <c r="P164" s="47"/>
      <c r="Q164" s="48"/>
      <c r="R164" s="34"/>
      <c r="S164" s="49"/>
      <c r="T164" s="9"/>
      <c r="U164" s="9"/>
      <c r="V164" s="67"/>
      <c r="W164" s="8"/>
    </row>
    <row r="165" spans="1:23" ht="31.5" customHeight="1" x14ac:dyDescent="0.25">
      <c r="A165" s="34"/>
      <c r="B165" s="43" t="s">
        <v>113</v>
      </c>
      <c r="C165" s="44" t="s">
        <v>114</v>
      </c>
      <c r="D165" s="34" t="s">
        <v>115</v>
      </c>
      <c r="E165" s="45">
        <v>46164</v>
      </c>
      <c r="F165" s="45">
        <v>46165</v>
      </c>
      <c r="G165" s="46">
        <f ca="1">SUMPRODUCT(--(WEEKDAY(ROW(INDIRECT($E160:$E211&amp;":"&amp;$F160:$F193)),1)=1))</f>
        <v>0</v>
      </c>
      <c r="H165" s="46">
        <f ca="1">SUMPRODUCT(--(WEEKDAY(ROW(INDIRECT($E160:$E211&amp;":"&amp;$F160:$F193)),1)=2))</f>
        <v>0</v>
      </c>
      <c r="I165" s="46">
        <f ca="1">SUMPRODUCT(--(WEEKDAY(ROW(INDIRECT($E160:$E211&amp;":"&amp;$F160:$F193)),1)=3))</f>
        <v>0</v>
      </c>
      <c r="J165" s="46">
        <f ca="1">SUMPRODUCT(--(WEEKDAY(ROW(INDIRECT($E160:$E211&amp;":"&amp;$F160:$F193)),1)=4))</f>
        <v>0</v>
      </c>
      <c r="K165" s="46">
        <f ca="1">SUMPRODUCT(--(WEEKDAY(ROW(INDIRECT($E160:$E211&amp;":"&amp;$F160:$F193)),1)=5))</f>
        <v>0</v>
      </c>
      <c r="L165" s="46">
        <f ca="1">SUMPRODUCT(--(WEEKDAY(ROW(INDIRECT($E160:$E211&amp;":"&amp;$F160:$F193)),1)=6))</f>
        <v>1</v>
      </c>
      <c r="M165" s="46">
        <f ca="1">SUMPRODUCT(--(WEEKDAY(ROW(INDIRECT($E160:$E211&amp;":"&amp;$F160:$F193)),1)=7))</f>
        <v>1</v>
      </c>
      <c r="N165" s="46">
        <f t="shared" ca="1" si="64"/>
        <v>2</v>
      </c>
      <c r="O165" s="47">
        <f t="shared" si="65"/>
        <v>2</v>
      </c>
      <c r="P165" s="47"/>
      <c r="Q165" s="48"/>
      <c r="R165" s="34"/>
      <c r="S165" s="49"/>
      <c r="T165" s="9"/>
      <c r="U165" s="9"/>
      <c r="V165" s="67"/>
      <c r="W165" s="8"/>
    </row>
    <row r="166" spans="1:23" ht="31.5" customHeight="1" x14ac:dyDescent="0.25">
      <c r="A166" s="34"/>
      <c r="B166" s="43" t="s">
        <v>238</v>
      </c>
      <c r="C166" s="44" t="s">
        <v>239</v>
      </c>
      <c r="D166" s="34" t="s">
        <v>240</v>
      </c>
      <c r="E166" s="45">
        <v>46164</v>
      </c>
      <c r="F166" s="45">
        <v>46164</v>
      </c>
      <c r="G166" s="46">
        <f ca="1">SUMPRODUCT(--(WEEKDAY(ROW(INDIRECT($E161:$E212&amp;":"&amp;$F161:$F194)),1)=1))</f>
        <v>0</v>
      </c>
      <c r="H166" s="46">
        <f ca="1">SUMPRODUCT(--(WEEKDAY(ROW(INDIRECT($E161:$E212&amp;":"&amp;$F161:$F194)),1)=2))</f>
        <v>0</v>
      </c>
      <c r="I166" s="46">
        <f ca="1">SUMPRODUCT(--(WEEKDAY(ROW(INDIRECT($E161:$E212&amp;":"&amp;$F161:$F194)),1)=3))</f>
        <v>0</v>
      </c>
      <c r="J166" s="46">
        <f ca="1">SUMPRODUCT(--(WEEKDAY(ROW(INDIRECT($E161:$E212&amp;":"&amp;$F161:$F194)),1)=4))</f>
        <v>0</v>
      </c>
      <c r="K166" s="46">
        <f ca="1">SUMPRODUCT(--(WEEKDAY(ROW(INDIRECT($E161:$E212&amp;":"&amp;$F161:$F194)),1)=5))</f>
        <v>0</v>
      </c>
      <c r="L166" s="46">
        <f ca="1">SUMPRODUCT(--(WEEKDAY(ROW(INDIRECT($E161:$E212&amp;":"&amp;$F161:$F194)),1)=6))</f>
        <v>1</v>
      </c>
      <c r="M166" s="46">
        <f ca="1">SUMPRODUCT(--(WEEKDAY(ROW(INDIRECT($E161:$E212&amp;":"&amp;$F161:$F194)),1)=7))</f>
        <v>0</v>
      </c>
      <c r="N166" s="46">
        <f t="shared" ref="N166:N182" ca="1" si="66">SUM(H166:M166)</f>
        <v>1</v>
      </c>
      <c r="O166" s="47">
        <f t="shared" ref="O166:O182" si="67">F166-E166+1</f>
        <v>1</v>
      </c>
      <c r="P166" s="47"/>
      <c r="Q166" s="48"/>
      <c r="R166" s="34"/>
      <c r="S166" s="49"/>
      <c r="T166" s="9"/>
      <c r="U166" s="9"/>
      <c r="V166" s="67"/>
      <c r="W166" s="8"/>
    </row>
    <row r="167" spans="1:23" ht="31.5" customHeight="1" x14ac:dyDescent="0.25">
      <c r="A167" s="34"/>
      <c r="B167" s="43" t="s">
        <v>241</v>
      </c>
      <c r="C167" s="44" t="s">
        <v>242</v>
      </c>
      <c r="D167" s="34" t="s">
        <v>243</v>
      </c>
      <c r="E167" s="45">
        <v>46164</v>
      </c>
      <c r="F167" s="45">
        <v>46165</v>
      </c>
      <c r="G167" s="46">
        <f ca="1">SUMPRODUCT(--(WEEKDAY(ROW(INDIRECT($E162:$E213&amp;":"&amp;$F162:$F195)),1)=1))</f>
        <v>0</v>
      </c>
      <c r="H167" s="46">
        <f ca="1">SUMPRODUCT(--(WEEKDAY(ROW(INDIRECT($E162:$E213&amp;":"&amp;$F162:$F195)),1)=2))</f>
        <v>0</v>
      </c>
      <c r="I167" s="46">
        <f ca="1">SUMPRODUCT(--(WEEKDAY(ROW(INDIRECT($E162:$E213&amp;":"&amp;$F162:$F195)),1)=3))</f>
        <v>0</v>
      </c>
      <c r="J167" s="46">
        <f ca="1">SUMPRODUCT(--(WEEKDAY(ROW(INDIRECT($E162:$E213&amp;":"&amp;$F162:$F195)),1)=4))</f>
        <v>0</v>
      </c>
      <c r="K167" s="46">
        <f ca="1">SUMPRODUCT(--(WEEKDAY(ROW(INDIRECT($E162:$E213&amp;":"&amp;$F162:$F195)),1)=5))</f>
        <v>0</v>
      </c>
      <c r="L167" s="46">
        <f ca="1">SUMPRODUCT(--(WEEKDAY(ROW(INDIRECT($E162:$E213&amp;":"&amp;$F162:$F195)),1)=6))</f>
        <v>1</v>
      </c>
      <c r="M167" s="46">
        <f ca="1">SUMPRODUCT(--(WEEKDAY(ROW(INDIRECT($E162:$E213&amp;":"&amp;$F162:$F195)),1)=7))</f>
        <v>1</v>
      </c>
      <c r="N167" s="46">
        <f t="shared" ca="1" si="66"/>
        <v>2</v>
      </c>
      <c r="O167" s="47">
        <f t="shared" si="67"/>
        <v>2</v>
      </c>
      <c r="P167" s="47"/>
      <c r="Q167" s="48"/>
      <c r="R167" s="34"/>
      <c r="S167" s="49"/>
      <c r="T167" s="9"/>
      <c r="U167" s="9"/>
      <c r="V167" s="67"/>
      <c r="W167" s="8"/>
    </row>
    <row r="168" spans="1:23" ht="31.5" customHeight="1" x14ac:dyDescent="0.25">
      <c r="A168" s="34"/>
      <c r="B168" s="43" t="s">
        <v>244</v>
      </c>
      <c r="C168" s="44" t="s">
        <v>245</v>
      </c>
      <c r="D168" s="34" t="s">
        <v>246</v>
      </c>
      <c r="E168" s="45">
        <v>46168</v>
      </c>
      <c r="F168" s="45">
        <v>46168</v>
      </c>
      <c r="G168" s="46">
        <f ca="1">SUMPRODUCT(--(WEEKDAY(ROW(INDIRECT($E163:$E214&amp;":"&amp;$F163:$F196)),1)=1))</f>
        <v>0</v>
      </c>
      <c r="H168" s="46">
        <f ca="1">SUMPRODUCT(--(WEEKDAY(ROW(INDIRECT($E163:$E214&amp;":"&amp;$F163:$F196)),1)=2))</f>
        <v>0</v>
      </c>
      <c r="I168" s="46">
        <f ca="1">SUMPRODUCT(--(WEEKDAY(ROW(INDIRECT($E163:$E214&amp;":"&amp;$F163:$F196)),1)=3))</f>
        <v>1</v>
      </c>
      <c r="J168" s="46">
        <f ca="1">SUMPRODUCT(--(WEEKDAY(ROW(INDIRECT($E163:$E214&amp;":"&amp;$F163:$F196)),1)=4))</f>
        <v>0</v>
      </c>
      <c r="K168" s="46">
        <f ca="1">SUMPRODUCT(--(WEEKDAY(ROW(INDIRECT($E163:$E214&amp;":"&amp;$F163:$F196)),1)=5))</f>
        <v>0</v>
      </c>
      <c r="L168" s="46">
        <f ca="1">SUMPRODUCT(--(WEEKDAY(ROW(INDIRECT($E163:$E214&amp;":"&amp;$F163:$F196)),1)=6))</f>
        <v>0</v>
      </c>
      <c r="M168" s="46">
        <f ca="1">SUMPRODUCT(--(WEEKDAY(ROW(INDIRECT($E163:$E214&amp;":"&amp;$F163:$F196)),1)=7))</f>
        <v>0</v>
      </c>
      <c r="N168" s="46">
        <f t="shared" ca="1" si="66"/>
        <v>1</v>
      </c>
      <c r="O168" s="47">
        <f t="shared" si="67"/>
        <v>1</v>
      </c>
      <c r="P168" s="47"/>
      <c r="Q168" s="48"/>
      <c r="R168" s="34"/>
      <c r="S168" s="49"/>
      <c r="T168" s="9"/>
      <c r="U168" s="9"/>
      <c r="V168" s="67"/>
      <c r="W168" s="8"/>
    </row>
    <row r="169" spans="1:23" ht="31.5" customHeight="1" x14ac:dyDescent="0.25">
      <c r="A169" s="34"/>
      <c r="B169" s="43" t="s">
        <v>247</v>
      </c>
      <c r="C169" s="44" t="s">
        <v>248</v>
      </c>
      <c r="D169" s="34" t="s">
        <v>249</v>
      </c>
      <c r="E169" s="45">
        <v>46167</v>
      </c>
      <c r="F169" s="45">
        <v>46168</v>
      </c>
      <c r="G169" s="46">
        <f ca="1">SUMPRODUCT(--(WEEKDAY(ROW(INDIRECT($E164:$E215&amp;":"&amp;$F164:$F197)),1)=1))</f>
        <v>0</v>
      </c>
      <c r="H169" s="46">
        <f ca="1">SUMPRODUCT(--(WEEKDAY(ROW(INDIRECT($E164:$E215&amp;":"&amp;$F164:$F197)),1)=2))</f>
        <v>1</v>
      </c>
      <c r="I169" s="46">
        <f ca="1">SUMPRODUCT(--(WEEKDAY(ROW(INDIRECT($E164:$E215&amp;":"&amp;$F164:$F197)),1)=3))</f>
        <v>1</v>
      </c>
      <c r="J169" s="46">
        <f ca="1">SUMPRODUCT(--(WEEKDAY(ROW(INDIRECT($E164:$E215&amp;":"&amp;$F164:$F197)),1)=4))</f>
        <v>0</v>
      </c>
      <c r="K169" s="46">
        <f ca="1">SUMPRODUCT(--(WEEKDAY(ROW(INDIRECT($E164:$E215&amp;":"&amp;$F164:$F197)),1)=5))</f>
        <v>0</v>
      </c>
      <c r="L169" s="46">
        <f ca="1">SUMPRODUCT(--(WEEKDAY(ROW(INDIRECT($E164:$E215&amp;":"&amp;$F164:$F197)),1)=6))</f>
        <v>0</v>
      </c>
      <c r="M169" s="46">
        <f ca="1">SUMPRODUCT(--(WEEKDAY(ROW(INDIRECT($E164:$E215&amp;":"&amp;$F164:$F197)),1)=7))</f>
        <v>0</v>
      </c>
      <c r="N169" s="46">
        <f t="shared" ca="1" si="66"/>
        <v>2</v>
      </c>
      <c r="O169" s="47">
        <f t="shared" si="67"/>
        <v>2</v>
      </c>
      <c r="P169" s="47"/>
      <c r="Q169" s="48"/>
      <c r="R169" s="34"/>
      <c r="S169" s="49"/>
      <c r="T169" s="9"/>
      <c r="U169" s="9"/>
      <c r="V169" s="67"/>
      <c r="W169" s="8"/>
    </row>
    <row r="170" spans="1:23" ht="31.5" customHeight="1" x14ac:dyDescent="0.25">
      <c r="A170" s="34"/>
      <c r="B170" s="43" t="s">
        <v>250</v>
      </c>
      <c r="C170" s="44" t="s">
        <v>251</v>
      </c>
      <c r="D170" s="34" t="s">
        <v>252</v>
      </c>
      <c r="E170" s="45">
        <v>46168</v>
      </c>
      <c r="F170" s="45">
        <v>46169</v>
      </c>
      <c r="G170" s="46">
        <f ca="1">SUMPRODUCT(--(WEEKDAY(ROW(INDIRECT($E165:$E216&amp;":"&amp;$F165:$F211)),1)=1))</f>
        <v>0</v>
      </c>
      <c r="H170" s="46">
        <f ca="1">SUMPRODUCT(--(WEEKDAY(ROW(INDIRECT($E165:$E216&amp;":"&amp;$F165:$F211)),1)=2))</f>
        <v>0</v>
      </c>
      <c r="I170" s="46">
        <f ca="1">SUMPRODUCT(--(WEEKDAY(ROW(INDIRECT($E165:$E216&amp;":"&amp;$F165:$F211)),1)=3))</f>
        <v>1</v>
      </c>
      <c r="J170" s="46">
        <f ca="1">SUMPRODUCT(--(WEEKDAY(ROW(INDIRECT($E165:$E216&amp;":"&amp;$F165:$F211)),1)=4))</f>
        <v>1</v>
      </c>
      <c r="K170" s="46">
        <f ca="1">SUMPRODUCT(--(WEEKDAY(ROW(INDIRECT($E165:$E216&amp;":"&amp;$F165:$F211)),1)=5))</f>
        <v>0</v>
      </c>
      <c r="L170" s="46">
        <f ca="1">SUMPRODUCT(--(WEEKDAY(ROW(INDIRECT($E165:$E216&amp;":"&amp;$F165:$F211)),1)=6))</f>
        <v>0</v>
      </c>
      <c r="M170" s="46">
        <f ca="1">SUMPRODUCT(--(WEEKDAY(ROW(INDIRECT($E165:$E216&amp;":"&amp;$F165:$F211)),1)=7))</f>
        <v>0</v>
      </c>
      <c r="N170" s="46">
        <f t="shared" ca="1" si="66"/>
        <v>2</v>
      </c>
      <c r="O170" s="47">
        <f t="shared" si="67"/>
        <v>2</v>
      </c>
      <c r="P170" s="47"/>
      <c r="Q170" s="48"/>
      <c r="R170" s="34"/>
      <c r="S170" s="49"/>
      <c r="T170" s="9"/>
      <c r="U170" s="9"/>
      <c r="V170" s="67"/>
      <c r="W170" s="8"/>
    </row>
    <row r="171" spans="1:23" ht="31.5" customHeight="1" x14ac:dyDescent="0.25">
      <c r="A171" s="34"/>
      <c r="B171" s="43"/>
      <c r="C171" s="44"/>
      <c r="D171" s="34"/>
      <c r="E171" s="45"/>
      <c r="F171" s="45"/>
      <c r="G171" s="46" t="e">
        <f ca="1">SUMPRODUCT(--(WEEKDAY(ROW(INDIRECT($E166:$E225&amp;":"&amp;$F166:$F212)),1)=1))</f>
        <v>#REF!</v>
      </c>
      <c r="H171" s="46" t="e">
        <f ca="1">SUMPRODUCT(--(WEEKDAY(ROW(INDIRECT($E166:$E225&amp;":"&amp;$F166:$F212)),1)=2))</f>
        <v>#REF!</v>
      </c>
      <c r="I171" s="46" t="e">
        <f ca="1">SUMPRODUCT(--(WEEKDAY(ROW(INDIRECT($E166:$E225&amp;":"&amp;$F166:$F212)),1)=3))</f>
        <v>#REF!</v>
      </c>
      <c r="J171" s="46" t="e">
        <f ca="1">SUMPRODUCT(--(WEEKDAY(ROW(INDIRECT($E166:$E225&amp;":"&amp;$F166:$F212)),1)=4))</f>
        <v>#REF!</v>
      </c>
      <c r="K171" s="46" t="e">
        <f ca="1">SUMPRODUCT(--(WEEKDAY(ROW(INDIRECT($E166:$E225&amp;":"&amp;$F166:$F212)),1)=5))</f>
        <v>#REF!</v>
      </c>
      <c r="L171" s="46" t="e">
        <f ca="1">SUMPRODUCT(--(WEEKDAY(ROW(INDIRECT($E166:$E225&amp;":"&amp;$F166:$F212)),1)=6))</f>
        <v>#REF!</v>
      </c>
      <c r="M171" s="46" t="e">
        <f ca="1">SUMPRODUCT(--(WEEKDAY(ROW(INDIRECT($E166:$E225&amp;":"&amp;$F166:$F212)),1)=7))</f>
        <v>#REF!</v>
      </c>
      <c r="N171" s="46" t="e">
        <f t="shared" ca="1" si="66"/>
        <v>#REF!</v>
      </c>
      <c r="O171" s="47">
        <f t="shared" si="67"/>
        <v>1</v>
      </c>
      <c r="P171" s="47"/>
      <c r="Q171" s="48"/>
      <c r="R171" s="34"/>
      <c r="S171" s="49"/>
      <c r="T171" s="9"/>
      <c r="U171" s="9"/>
      <c r="V171" s="67"/>
      <c r="W171" s="8"/>
    </row>
    <row r="172" spans="1:23" ht="31.5" customHeight="1" x14ac:dyDescent="0.25">
      <c r="A172" s="34"/>
      <c r="B172" s="43"/>
      <c r="C172" s="44"/>
      <c r="D172" s="34"/>
      <c r="E172" s="45"/>
      <c r="F172" s="45"/>
      <c r="G172" s="46" t="e">
        <f ca="1">SUMPRODUCT(--(WEEKDAY(ROW(INDIRECT($E167:$E226&amp;":"&amp;$F167:$F213)),1)=1))</f>
        <v>#REF!</v>
      </c>
      <c r="H172" s="46" t="e">
        <f ca="1">SUMPRODUCT(--(WEEKDAY(ROW(INDIRECT($E167:$E226&amp;":"&amp;$F167:$F213)),1)=2))</f>
        <v>#REF!</v>
      </c>
      <c r="I172" s="46" t="e">
        <f ca="1">SUMPRODUCT(--(WEEKDAY(ROW(INDIRECT($E167:$E226&amp;":"&amp;$F167:$F213)),1)=3))</f>
        <v>#REF!</v>
      </c>
      <c r="J172" s="46" t="e">
        <f ca="1">SUMPRODUCT(--(WEEKDAY(ROW(INDIRECT($E167:$E226&amp;":"&amp;$F167:$F213)),1)=4))</f>
        <v>#REF!</v>
      </c>
      <c r="K172" s="46" t="e">
        <f ca="1">SUMPRODUCT(--(WEEKDAY(ROW(INDIRECT($E167:$E226&amp;":"&amp;$F167:$F213)),1)=5))</f>
        <v>#REF!</v>
      </c>
      <c r="L172" s="46" t="e">
        <f ca="1">SUMPRODUCT(--(WEEKDAY(ROW(INDIRECT($E167:$E226&amp;":"&amp;$F167:$F213)),1)=6))</f>
        <v>#REF!</v>
      </c>
      <c r="M172" s="46" t="e">
        <f ca="1">SUMPRODUCT(--(WEEKDAY(ROW(INDIRECT($E167:$E226&amp;":"&amp;$F167:$F213)),1)=7))</f>
        <v>#REF!</v>
      </c>
      <c r="N172" s="46" t="e">
        <f t="shared" ca="1" si="66"/>
        <v>#REF!</v>
      </c>
      <c r="O172" s="47">
        <f t="shared" si="67"/>
        <v>1</v>
      </c>
      <c r="P172" s="47"/>
      <c r="Q172" s="48"/>
      <c r="R172" s="34"/>
      <c r="S172" s="49"/>
      <c r="T172" s="9"/>
      <c r="U172" s="9"/>
      <c r="V172" s="67"/>
      <c r="W172" s="8"/>
    </row>
    <row r="173" spans="1:23" ht="31.5" customHeight="1" x14ac:dyDescent="0.25">
      <c r="A173" s="34"/>
      <c r="B173" s="43"/>
      <c r="C173" s="44"/>
      <c r="D173" s="34"/>
      <c r="E173" s="45"/>
      <c r="F173" s="45"/>
      <c r="G173" s="46" t="e">
        <f ca="1">SUMPRODUCT(--(WEEKDAY(ROW(INDIRECT($E168:$E227&amp;":"&amp;$F168:$F214)),1)=1))</f>
        <v>#REF!</v>
      </c>
      <c r="H173" s="46" t="e">
        <f ca="1">SUMPRODUCT(--(WEEKDAY(ROW(INDIRECT($E168:$E227&amp;":"&amp;$F168:$F214)),1)=2))</f>
        <v>#REF!</v>
      </c>
      <c r="I173" s="46" t="e">
        <f ca="1">SUMPRODUCT(--(WEEKDAY(ROW(INDIRECT($E168:$E227&amp;":"&amp;$F168:$F214)),1)=3))</f>
        <v>#REF!</v>
      </c>
      <c r="J173" s="46" t="e">
        <f ca="1">SUMPRODUCT(--(WEEKDAY(ROW(INDIRECT($E168:$E227&amp;":"&amp;$F168:$F214)),1)=4))</f>
        <v>#REF!</v>
      </c>
      <c r="K173" s="46" t="e">
        <f ca="1">SUMPRODUCT(--(WEEKDAY(ROW(INDIRECT($E168:$E227&amp;":"&amp;$F168:$F214)),1)=5))</f>
        <v>#REF!</v>
      </c>
      <c r="L173" s="46" t="e">
        <f ca="1">SUMPRODUCT(--(WEEKDAY(ROW(INDIRECT($E168:$E227&amp;":"&amp;$F168:$F214)),1)=6))</f>
        <v>#REF!</v>
      </c>
      <c r="M173" s="46" t="e">
        <f ca="1">SUMPRODUCT(--(WEEKDAY(ROW(INDIRECT($E168:$E227&amp;":"&amp;$F168:$F214)),1)=7))</f>
        <v>#REF!</v>
      </c>
      <c r="N173" s="46" t="e">
        <f t="shared" ca="1" si="66"/>
        <v>#REF!</v>
      </c>
      <c r="O173" s="47">
        <f t="shared" si="67"/>
        <v>1</v>
      </c>
      <c r="P173" s="47"/>
      <c r="Q173" s="48"/>
      <c r="R173" s="34"/>
      <c r="S173" s="49"/>
      <c r="T173" s="9"/>
      <c r="U173" s="9"/>
      <c r="V173" s="67"/>
      <c r="W173" s="8"/>
    </row>
    <row r="174" spans="1:23" ht="31.5" customHeight="1" x14ac:dyDescent="0.25">
      <c r="A174" s="34"/>
      <c r="B174" s="43"/>
      <c r="C174" s="44"/>
      <c r="D174" s="34"/>
      <c r="E174" s="45"/>
      <c r="F174" s="45"/>
      <c r="G174" s="46" t="e">
        <f t="shared" ref="G174" ca="1" si="68">SUMPRODUCT(--(WEEKDAY(ROW(INDIRECT($E169:$E228&amp;":"&amp;$F169:$F215)),1)=1))</f>
        <v>#REF!</v>
      </c>
      <c r="H174" s="46" t="e">
        <f t="shared" ref="H174" ca="1" si="69">SUMPRODUCT(--(WEEKDAY(ROW(INDIRECT($E169:$E228&amp;":"&amp;$F169:$F215)),1)=2))</f>
        <v>#REF!</v>
      </c>
      <c r="I174" s="46" t="e">
        <f t="shared" ref="I174" ca="1" si="70">SUMPRODUCT(--(WEEKDAY(ROW(INDIRECT($E169:$E228&amp;":"&amp;$F169:$F215)),1)=3))</f>
        <v>#REF!</v>
      </c>
      <c r="J174" s="46" t="e">
        <f t="shared" ref="J174" ca="1" si="71">SUMPRODUCT(--(WEEKDAY(ROW(INDIRECT($E169:$E228&amp;":"&amp;$F169:$F215)),1)=4))</f>
        <v>#REF!</v>
      </c>
      <c r="K174" s="46" t="e">
        <f t="shared" ref="K174" ca="1" si="72">SUMPRODUCT(--(WEEKDAY(ROW(INDIRECT($E169:$E228&amp;":"&amp;$F169:$F215)),1)=5))</f>
        <v>#REF!</v>
      </c>
      <c r="L174" s="46" t="e">
        <f t="shared" ref="L174" ca="1" si="73">SUMPRODUCT(--(WEEKDAY(ROW(INDIRECT($E169:$E228&amp;":"&amp;$F169:$F215)),1)=6))</f>
        <v>#REF!</v>
      </c>
      <c r="M174" s="46" t="e">
        <f t="shared" ref="M174" ca="1" si="74">SUMPRODUCT(--(WEEKDAY(ROW(INDIRECT($E169:$E228&amp;":"&amp;$F169:$F215)),1)=7))</f>
        <v>#REF!</v>
      </c>
      <c r="N174" s="46" t="e">
        <f t="shared" ref="N174:N180" ca="1" si="75">SUM(H174:M174)</f>
        <v>#REF!</v>
      </c>
      <c r="O174" s="47">
        <f t="shared" ref="O174:O180" si="76">F174-E174+1</f>
        <v>1</v>
      </c>
      <c r="P174" s="47"/>
      <c r="Q174" s="48"/>
      <c r="R174" s="34"/>
      <c r="S174" s="49"/>
      <c r="T174" s="9"/>
      <c r="U174" s="9"/>
      <c r="V174" s="67"/>
      <c r="W174" s="8"/>
    </row>
    <row r="175" spans="1:23" ht="31.5" customHeight="1" x14ac:dyDescent="0.25">
      <c r="A175" s="34"/>
      <c r="B175" s="43"/>
      <c r="C175" s="44"/>
      <c r="D175" s="34"/>
      <c r="E175" s="45"/>
      <c r="F175" s="45"/>
      <c r="G175" s="46" t="e">
        <f ca="1">SUMPRODUCT(--(WEEKDAY(ROW(INDIRECT($E170:$E243&amp;":"&amp;$F170:$F216)),1)=1))</f>
        <v>#REF!</v>
      </c>
      <c r="H175" s="46" t="e">
        <f ca="1">SUMPRODUCT(--(WEEKDAY(ROW(INDIRECT($E170:$E243&amp;":"&amp;$F170:$F216)),1)=2))</f>
        <v>#REF!</v>
      </c>
      <c r="I175" s="46" t="e">
        <f ca="1">SUMPRODUCT(--(WEEKDAY(ROW(INDIRECT($E170:$E243&amp;":"&amp;$F170:$F216)),1)=3))</f>
        <v>#REF!</v>
      </c>
      <c r="J175" s="46" t="e">
        <f ca="1">SUMPRODUCT(--(WEEKDAY(ROW(INDIRECT($E170:$E243&amp;":"&amp;$F170:$F216)),1)=4))</f>
        <v>#REF!</v>
      </c>
      <c r="K175" s="46" t="e">
        <f ca="1">SUMPRODUCT(--(WEEKDAY(ROW(INDIRECT($E170:$E243&amp;":"&amp;$F170:$F216)),1)=5))</f>
        <v>#REF!</v>
      </c>
      <c r="L175" s="46" t="e">
        <f ca="1">SUMPRODUCT(--(WEEKDAY(ROW(INDIRECT($E170:$E243&amp;":"&amp;$F170:$F216)),1)=6))</f>
        <v>#REF!</v>
      </c>
      <c r="M175" s="46" t="e">
        <f ca="1">SUMPRODUCT(--(WEEKDAY(ROW(INDIRECT($E170:$E243&amp;":"&amp;$F170:$F216)),1)=7))</f>
        <v>#REF!</v>
      </c>
      <c r="N175" s="46" t="e">
        <f t="shared" ca="1" si="75"/>
        <v>#REF!</v>
      </c>
      <c r="O175" s="47">
        <f t="shared" si="76"/>
        <v>1</v>
      </c>
      <c r="P175" s="47"/>
      <c r="Q175" s="48"/>
      <c r="R175" s="34"/>
      <c r="S175" s="49"/>
      <c r="T175" s="9"/>
      <c r="U175" s="9"/>
      <c r="V175" s="67"/>
      <c r="W175" s="8"/>
    </row>
    <row r="176" spans="1:23" ht="31.5" customHeight="1" x14ac:dyDescent="0.25">
      <c r="A176" s="34"/>
      <c r="B176" s="43"/>
      <c r="C176" s="44"/>
      <c r="D176" s="34"/>
      <c r="E176" s="45"/>
      <c r="F176" s="45"/>
      <c r="G176" s="46" t="e">
        <f ca="1">SUMPRODUCT(--(WEEKDAY(ROW(INDIRECT($E171:$E244&amp;":"&amp;$F171:$F217)),1)=1))</f>
        <v>#REF!</v>
      </c>
      <c r="H176" s="46" t="e">
        <f ca="1">SUMPRODUCT(--(WEEKDAY(ROW(INDIRECT($E171:$E244&amp;":"&amp;$F171:$F217)),1)=2))</f>
        <v>#REF!</v>
      </c>
      <c r="I176" s="46" t="e">
        <f ca="1">SUMPRODUCT(--(WEEKDAY(ROW(INDIRECT($E171:$E244&amp;":"&amp;$F171:$F217)),1)=3))</f>
        <v>#REF!</v>
      </c>
      <c r="J176" s="46" t="e">
        <f ca="1">SUMPRODUCT(--(WEEKDAY(ROW(INDIRECT($E171:$E244&amp;":"&amp;$F171:$F217)),1)=4))</f>
        <v>#REF!</v>
      </c>
      <c r="K176" s="46" t="e">
        <f ca="1">SUMPRODUCT(--(WEEKDAY(ROW(INDIRECT($E171:$E244&amp;":"&amp;$F171:$F217)),1)=5))</f>
        <v>#REF!</v>
      </c>
      <c r="L176" s="46" t="e">
        <f ca="1">SUMPRODUCT(--(WEEKDAY(ROW(INDIRECT($E171:$E244&amp;":"&amp;$F171:$F217)),1)=6))</f>
        <v>#REF!</v>
      </c>
      <c r="M176" s="46" t="e">
        <f ca="1">SUMPRODUCT(--(WEEKDAY(ROW(INDIRECT($E171:$E244&amp;":"&amp;$F171:$F217)),1)=7))</f>
        <v>#REF!</v>
      </c>
      <c r="N176" s="46" t="e">
        <f t="shared" ca="1" si="75"/>
        <v>#REF!</v>
      </c>
      <c r="O176" s="47">
        <f t="shared" si="76"/>
        <v>1</v>
      </c>
      <c r="P176" s="47"/>
      <c r="Q176" s="48"/>
      <c r="R176" s="34"/>
      <c r="S176" s="49"/>
      <c r="T176" s="9"/>
      <c r="U176" s="9"/>
      <c r="V176" s="67"/>
      <c r="W176" s="8"/>
    </row>
    <row r="177" spans="1:28" ht="31.5" customHeight="1" x14ac:dyDescent="0.25">
      <c r="A177" s="34"/>
      <c r="B177" s="43"/>
      <c r="C177" s="44"/>
      <c r="D177" s="34"/>
      <c r="E177" s="45"/>
      <c r="F177" s="45"/>
      <c r="G177" s="46" t="e">
        <f ca="1">SUMPRODUCT(--(WEEKDAY(ROW(INDIRECT($E172:$E245&amp;":"&amp;$F172:$F218)),1)=1))</f>
        <v>#REF!</v>
      </c>
      <c r="H177" s="46" t="e">
        <f ca="1">SUMPRODUCT(--(WEEKDAY(ROW(INDIRECT($E172:$E245&amp;":"&amp;$F172:$F218)),1)=2))</f>
        <v>#REF!</v>
      </c>
      <c r="I177" s="46" t="e">
        <f ca="1">SUMPRODUCT(--(WEEKDAY(ROW(INDIRECT($E172:$E245&amp;":"&amp;$F172:$F218)),1)=3))</f>
        <v>#REF!</v>
      </c>
      <c r="J177" s="46" t="e">
        <f ca="1">SUMPRODUCT(--(WEEKDAY(ROW(INDIRECT($E172:$E245&amp;":"&amp;$F172:$F218)),1)=4))</f>
        <v>#REF!</v>
      </c>
      <c r="K177" s="46" t="e">
        <f ca="1">SUMPRODUCT(--(WEEKDAY(ROW(INDIRECT($E172:$E245&amp;":"&amp;$F172:$F218)),1)=5))</f>
        <v>#REF!</v>
      </c>
      <c r="L177" s="46" t="e">
        <f ca="1">SUMPRODUCT(--(WEEKDAY(ROW(INDIRECT($E172:$E245&amp;":"&amp;$F172:$F218)),1)=6))</f>
        <v>#REF!</v>
      </c>
      <c r="M177" s="46" t="e">
        <f ca="1">SUMPRODUCT(--(WEEKDAY(ROW(INDIRECT($E172:$E245&amp;":"&amp;$F172:$F218)),1)=7))</f>
        <v>#REF!</v>
      </c>
      <c r="N177" s="46" t="e">
        <f t="shared" ca="1" si="75"/>
        <v>#REF!</v>
      </c>
      <c r="O177" s="47">
        <f t="shared" si="76"/>
        <v>1</v>
      </c>
      <c r="P177" s="47"/>
      <c r="Q177" s="48"/>
      <c r="R177" s="34"/>
      <c r="S177" s="49"/>
      <c r="T177" s="9"/>
      <c r="U177" s="9"/>
      <c r="V177" s="67"/>
      <c r="W177" s="8"/>
    </row>
    <row r="178" spans="1:28" ht="31.5" customHeight="1" x14ac:dyDescent="0.25">
      <c r="A178" s="34"/>
      <c r="B178" s="43"/>
      <c r="C178" s="44"/>
      <c r="D178" s="34"/>
      <c r="E178" s="45"/>
      <c r="F178" s="45"/>
      <c r="G178" s="46" t="e">
        <f ca="1">SUMPRODUCT(--(WEEKDAY(ROW(INDIRECT($E173:$E246&amp;":"&amp;$F173:$F219)),1)=1))</f>
        <v>#REF!</v>
      </c>
      <c r="H178" s="46" t="e">
        <f ca="1">SUMPRODUCT(--(WEEKDAY(ROW(INDIRECT($E173:$E246&amp;":"&amp;$F173:$F219)),1)=2))</f>
        <v>#REF!</v>
      </c>
      <c r="I178" s="46" t="e">
        <f ca="1">SUMPRODUCT(--(WEEKDAY(ROW(INDIRECT($E173:$E246&amp;":"&amp;$F173:$F219)),1)=3))</f>
        <v>#REF!</v>
      </c>
      <c r="J178" s="46" t="e">
        <f ca="1">SUMPRODUCT(--(WEEKDAY(ROW(INDIRECT($E173:$E246&amp;":"&amp;$F173:$F219)),1)=4))</f>
        <v>#REF!</v>
      </c>
      <c r="K178" s="46" t="e">
        <f ca="1">SUMPRODUCT(--(WEEKDAY(ROW(INDIRECT($E173:$E246&amp;":"&amp;$F173:$F219)),1)=5))</f>
        <v>#REF!</v>
      </c>
      <c r="L178" s="46" t="e">
        <f ca="1">SUMPRODUCT(--(WEEKDAY(ROW(INDIRECT($E173:$E246&amp;":"&amp;$F173:$F219)),1)=6))</f>
        <v>#REF!</v>
      </c>
      <c r="M178" s="46" t="e">
        <f ca="1">SUMPRODUCT(--(WEEKDAY(ROW(INDIRECT($E173:$E246&amp;":"&amp;$F173:$F219)),1)=7))</f>
        <v>#REF!</v>
      </c>
      <c r="N178" s="46" t="e">
        <f t="shared" ca="1" si="75"/>
        <v>#REF!</v>
      </c>
      <c r="O178" s="47">
        <f t="shared" si="76"/>
        <v>1</v>
      </c>
      <c r="P178" s="47"/>
      <c r="Q178" s="48"/>
      <c r="R178" s="34"/>
      <c r="S178" s="49"/>
      <c r="T178" s="9"/>
      <c r="U178" s="9"/>
      <c r="V178" s="67"/>
      <c r="W178" s="8"/>
    </row>
    <row r="179" spans="1:28" ht="31.5" customHeight="1" x14ac:dyDescent="0.25">
      <c r="A179" s="34"/>
      <c r="B179" s="43"/>
      <c r="C179" s="44"/>
      <c r="D179" s="34"/>
      <c r="E179" s="45"/>
      <c r="F179" s="45"/>
      <c r="G179" s="46" t="e">
        <f ca="1">SUMPRODUCT(--(WEEKDAY(ROW(INDIRECT($E174:$E233&amp;":"&amp;$F174:$F220)),1)=1))</f>
        <v>#REF!</v>
      </c>
      <c r="H179" s="46" t="e">
        <f ca="1">SUMPRODUCT(--(WEEKDAY(ROW(INDIRECT($E174:$E233&amp;":"&amp;$F174:$F220)),1)=2))</f>
        <v>#REF!</v>
      </c>
      <c r="I179" s="46" t="e">
        <f ca="1">SUMPRODUCT(--(WEEKDAY(ROW(INDIRECT($E174:$E233&amp;":"&amp;$F174:$F220)),1)=3))</f>
        <v>#REF!</v>
      </c>
      <c r="J179" s="46" t="e">
        <f ca="1">SUMPRODUCT(--(WEEKDAY(ROW(INDIRECT($E174:$E233&amp;":"&amp;$F174:$F220)),1)=4))</f>
        <v>#REF!</v>
      </c>
      <c r="K179" s="46" t="e">
        <f ca="1">SUMPRODUCT(--(WEEKDAY(ROW(INDIRECT($E174:$E233&amp;":"&amp;$F174:$F220)),1)=5))</f>
        <v>#REF!</v>
      </c>
      <c r="L179" s="46" t="e">
        <f ca="1">SUMPRODUCT(--(WEEKDAY(ROW(INDIRECT($E174:$E233&amp;":"&amp;$F174:$F220)),1)=6))</f>
        <v>#REF!</v>
      </c>
      <c r="M179" s="46" t="e">
        <f ca="1">SUMPRODUCT(--(WEEKDAY(ROW(INDIRECT($E174:$E233&amp;":"&amp;$F174:$F220)),1)=7))</f>
        <v>#REF!</v>
      </c>
      <c r="N179" s="46" t="e">
        <f t="shared" ca="1" si="75"/>
        <v>#REF!</v>
      </c>
      <c r="O179" s="47">
        <f t="shared" si="76"/>
        <v>1</v>
      </c>
      <c r="P179" s="47"/>
      <c r="Q179" s="48"/>
      <c r="R179" s="34"/>
      <c r="S179" s="49"/>
      <c r="T179" s="9"/>
      <c r="U179" s="9"/>
      <c r="V179" s="67"/>
      <c r="W179" s="8"/>
    </row>
    <row r="180" spans="1:28" ht="31.5" customHeight="1" x14ac:dyDescent="0.25">
      <c r="A180" s="34"/>
      <c r="B180" s="43"/>
      <c r="C180" s="44"/>
      <c r="D180" s="34"/>
      <c r="E180" s="45"/>
      <c r="F180" s="45"/>
      <c r="G180" s="46" t="e">
        <f ca="1">SUMPRODUCT(--(WEEKDAY(ROW(INDIRECT($E175:$E234&amp;":"&amp;$F175:$F221)),1)=1))</f>
        <v>#REF!</v>
      </c>
      <c r="H180" s="46" t="e">
        <f ca="1">SUMPRODUCT(--(WEEKDAY(ROW(INDIRECT($E175:$E234&amp;":"&amp;$F175:$F221)),1)=2))</f>
        <v>#REF!</v>
      </c>
      <c r="I180" s="46" t="e">
        <f ca="1">SUMPRODUCT(--(WEEKDAY(ROW(INDIRECT($E175:$E234&amp;":"&amp;$F175:$F221)),1)=3))</f>
        <v>#REF!</v>
      </c>
      <c r="J180" s="46" t="e">
        <f ca="1">SUMPRODUCT(--(WEEKDAY(ROW(INDIRECT($E175:$E234&amp;":"&amp;$F175:$F221)),1)=4))</f>
        <v>#REF!</v>
      </c>
      <c r="K180" s="46" t="e">
        <f ca="1">SUMPRODUCT(--(WEEKDAY(ROW(INDIRECT($E175:$E234&amp;":"&amp;$F175:$F221)),1)=5))</f>
        <v>#REF!</v>
      </c>
      <c r="L180" s="46" t="e">
        <f ca="1">SUMPRODUCT(--(WEEKDAY(ROW(INDIRECT($E175:$E234&amp;":"&amp;$F175:$F221)),1)=6))</f>
        <v>#REF!</v>
      </c>
      <c r="M180" s="46" t="e">
        <f ca="1">SUMPRODUCT(--(WEEKDAY(ROW(INDIRECT($E175:$E234&amp;":"&amp;$F175:$F221)),1)=7))</f>
        <v>#REF!</v>
      </c>
      <c r="N180" s="46" t="e">
        <f t="shared" ca="1" si="75"/>
        <v>#REF!</v>
      </c>
      <c r="O180" s="47">
        <f t="shared" si="76"/>
        <v>1</v>
      </c>
      <c r="P180" s="47"/>
      <c r="Q180" s="48"/>
      <c r="R180" s="34"/>
      <c r="S180" s="49"/>
      <c r="T180" s="9"/>
      <c r="U180" s="9"/>
      <c r="V180" s="67"/>
      <c r="W180" s="8"/>
    </row>
    <row r="181" spans="1:28" ht="31.5" customHeight="1" x14ac:dyDescent="0.25">
      <c r="A181" s="34"/>
      <c r="B181" s="43"/>
      <c r="C181" s="44"/>
      <c r="D181" s="34"/>
      <c r="E181" s="45"/>
      <c r="F181" s="45"/>
      <c r="G181" s="46" t="e">
        <f ca="1">SUMPRODUCT(--(WEEKDAY(ROW(INDIRECT($E169:$E228&amp;":"&amp;$F169:$F215)),1)=1))</f>
        <v>#REF!</v>
      </c>
      <c r="H181" s="46" t="e">
        <f ca="1">SUMPRODUCT(--(WEEKDAY(ROW(INDIRECT($E169:$E228&amp;":"&amp;$F169:$F215)),1)=2))</f>
        <v>#REF!</v>
      </c>
      <c r="I181" s="46" t="e">
        <f ca="1">SUMPRODUCT(--(WEEKDAY(ROW(INDIRECT($E169:$E228&amp;":"&amp;$F169:$F215)),1)=3))</f>
        <v>#REF!</v>
      </c>
      <c r="J181" s="46" t="e">
        <f ca="1">SUMPRODUCT(--(WEEKDAY(ROW(INDIRECT($E169:$E228&amp;":"&amp;$F169:$F215)),1)=4))</f>
        <v>#REF!</v>
      </c>
      <c r="K181" s="46" t="e">
        <f ca="1">SUMPRODUCT(--(WEEKDAY(ROW(INDIRECT($E169:$E228&amp;":"&amp;$F169:$F215)),1)=5))</f>
        <v>#REF!</v>
      </c>
      <c r="L181" s="46" t="e">
        <f ca="1">SUMPRODUCT(--(WEEKDAY(ROW(INDIRECT($E169:$E228&amp;":"&amp;$F169:$F215)),1)=6))</f>
        <v>#REF!</v>
      </c>
      <c r="M181" s="46" t="e">
        <f ca="1">SUMPRODUCT(--(WEEKDAY(ROW(INDIRECT($E169:$E228&amp;":"&amp;$F169:$F215)),1)=7))</f>
        <v>#REF!</v>
      </c>
      <c r="N181" s="46" t="e">
        <f t="shared" ca="1" si="66"/>
        <v>#REF!</v>
      </c>
      <c r="O181" s="47">
        <f t="shared" si="67"/>
        <v>1</v>
      </c>
      <c r="P181" s="47"/>
      <c r="Q181" s="48"/>
      <c r="R181" s="34"/>
      <c r="S181" s="49"/>
      <c r="T181" s="9"/>
      <c r="U181" s="9"/>
      <c r="V181" s="67"/>
      <c r="W181" s="8"/>
    </row>
    <row r="182" spans="1:28" ht="31.5" customHeight="1" x14ac:dyDescent="0.25">
      <c r="A182" s="34"/>
      <c r="B182" s="43"/>
      <c r="C182" s="44"/>
      <c r="D182" s="34"/>
      <c r="E182" s="45"/>
      <c r="F182" s="45"/>
      <c r="G182" s="46" t="e">
        <f ca="1">SUMPRODUCT(--(WEEKDAY(ROW(INDIRECT($E170:$E243&amp;":"&amp;$F170:$F216)),1)=1))</f>
        <v>#REF!</v>
      </c>
      <c r="H182" s="46" t="e">
        <f ca="1">SUMPRODUCT(--(WEEKDAY(ROW(INDIRECT($E170:$E243&amp;":"&amp;$F170:$F216)),1)=2))</f>
        <v>#REF!</v>
      </c>
      <c r="I182" s="46" t="e">
        <f ca="1">SUMPRODUCT(--(WEEKDAY(ROW(INDIRECT($E170:$E243&amp;":"&amp;$F170:$F216)),1)=3))</f>
        <v>#REF!</v>
      </c>
      <c r="J182" s="46" t="e">
        <f ca="1">SUMPRODUCT(--(WEEKDAY(ROW(INDIRECT($E170:$E243&amp;":"&amp;$F170:$F216)),1)=4))</f>
        <v>#REF!</v>
      </c>
      <c r="K182" s="46" t="e">
        <f ca="1">SUMPRODUCT(--(WEEKDAY(ROW(INDIRECT($E170:$E243&amp;":"&amp;$F170:$F216)),1)=5))</f>
        <v>#REF!</v>
      </c>
      <c r="L182" s="46" t="e">
        <f ca="1">SUMPRODUCT(--(WEEKDAY(ROW(INDIRECT($E170:$E243&amp;":"&amp;$F170:$F216)),1)=6))</f>
        <v>#REF!</v>
      </c>
      <c r="M182" s="46" t="e">
        <f ca="1">SUMPRODUCT(--(WEEKDAY(ROW(INDIRECT($E170:$E243&amp;":"&amp;$F170:$F216)),1)=7))</f>
        <v>#REF!</v>
      </c>
      <c r="N182" s="46" t="e">
        <f t="shared" ca="1" si="66"/>
        <v>#REF!</v>
      </c>
      <c r="O182" s="47">
        <f t="shared" si="67"/>
        <v>1</v>
      </c>
      <c r="P182" s="47"/>
      <c r="Q182" s="48"/>
      <c r="R182" s="34"/>
      <c r="S182" s="49"/>
      <c r="T182" s="9"/>
      <c r="U182" s="9"/>
      <c r="V182" s="67"/>
      <c r="W182" s="8"/>
    </row>
    <row r="183" spans="1:28" ht="31.5" customHeight="1" x14ac:dyDescent="0.25">
      <c r="A183" s="34">
        <v>4</v>
      </c>
      <c r="B183" s="43"/>
      <c r="C183" s="44"/>
      <c r="D183" s="34"/>
      <c r="E183" s="45"/>
      <c r="F183" s="45"/>
      <c r="G183" s="46" t="e">
        <f ca="1">SUMPRODUCT(--(WEEKDAY(ROW(INDIRECT($E161:$E212&amp;":"&amp;$F161:$F194)),1)=1))</f>
        <v>#REF!</v>
      </c>
      <c r="H183" s="46" t="e">
        <f ca="1">SUMPRODUCT(--(WEEKDAY(ROW(INDIRECT($E161:$E212&amp;":"&amp;$F161:$F194)),1)=2))</f>
        <v>#REF!</v>
      </c>
      <c r="I183" s="46" t="e">
        <f ca="1">SUMPRODUCT(--(WEEKDAY(ROW(INDIRECT($E161:$E212&amp;":"&amp;$F161:$F194)),1)=3))</f>
        <v>#REF!</v>
      </c>
      <c r="J183" s="46" t="e">
        <f ca="1">SUMPRODUCT(--(WEEKDAY(ROW(INDIRECT($E161:$E212&amp;":"&amp;$F161:$F194)),1)=4))</f>
        <v>#REF!</v>
      </c>
      <c r="K183" s="46" t="e">
        <f ca="1">SUMPRODUCT(--(WEEKDAY(ROW(INDIRECT($E161:$E212&amp;":"&amp;$F161:$F194)),1)=5))</f>
        <v>#REF!</v>
      </c>
      <c r="L183" s="46" t="e">
        <f ca="1">SUMPRODUCT(--(WEEKDAY(ROW(INDIRECT($E161:$E212&amp;":"&amp;$F161:$F194)),1)=6))</f>
        <v>#REF!</v>
      </c>
      <c r="M183" s="46" t="e">
        <f ca="1">SUMPRODUCT(--(WEEKDAY(ROW(INDIRECT($E161:$E212&amp;":"&amp;$F161:$F194)),1)=7))</f>
        <v>#REF!</v>
      </c>
      <c r="N183" s="46" t="e">
        <f t="shared" ca="1" si="64"/>
        <v>#REF!</v>
      </c>
      <c r="O183" s="47">
        <f t="shared" si="65"/>
        <v>1</v>
      </c>
      <c r="P183" s="47"/>
      <c r="Q183" s="48"/>
      <c r="R183" s="34"/>
      <c r="S183" s="49"/>
      <c r="T183" s="9" t="s">
        <v>74</v>
      </c>
      <c r="U183" s="9"/>
      <c r="V183" s="67" t="s">
        <v>78</v>
      </c>
      <c r="W183" s="8"/>
    </row>
    <row r="184" spans="1:28" ht="31.5" customHeight="1" x14ac:dyDescent="0.25">
      <c r="A184" s="122" t="s">
        <v>62</v>
      </c>
      <c r="B184" s="123"/>
      <c r="C184" s="123"/>
      <c r="D184" s="123"/>
      <c r="E184" s="123"/>
      <c r="F184" s="124"/>
      <c r="G184" s="51"/>
      <c r="H184" s="51"/>
      <c r="I184" s="51"/>
      <c r="J184" s="51"/>
      <c r="K184" s="51"/>
      <c r="L184" s="51"/>
      <c r="M184" s="51"/>
      <c r="N184" s="51"/>
      <c r="O184" s="35">
        <v>5</v>
      </c>
      <c r="P184" s="68"/>
      <c r="Q184" s="69"/>
      <c r="R184" s="34"/>
      <c r="S184" s="49"/>
      <c r="V184" s="67"/>
    </row>
    <row r="185" spans="1:28" ht="31.5" customHeight="1" x14ac:dyDescent="0.25">
      <c r="A185" s="94" t="s">
        <v>63</v>
      </c>
      <c r="B185" s="36"/>
      <c r="C185" s="135" t="s">
        <v>110</v>
      </c>
      <c r="D185" s="136"/>
      <c r="E185" s="136"/>
      <c r="F185" s="136"/>
      <c r="G185" s="136"/>
      <c r="H185" s="136"/>
      <c r="I185" s="136"/>
      <c r="J185" s="136"/>
      <c r="K185" s="136"/>
      <c r="L185" s="136"/>
      <c r="M185" s="136"/>
      <c r="N185" s="136"/>
      <c r="O185" s="136"/>
      <c r="P185" s="136"/>
      <c r="Q185" s="136"/>
      <c r="R185" s="136"/>
      <c r="S185" s="136"/>
      <c r="T185" s="136"/>
      <c r="U185" s="136"/>
      <c r="V185" s="136"/>
      <c r="W185" s="136"/>
      <c r="X185" s="136"/>
      <c r="Y185" s="136"/>
      <c r="Z185" s="136"/>
      <c r="AA185" s="136"/>
      <c r="AB185" s="137"/>
    </row>
    <row r="186" spans="1:28" ht="31.5" customHeight="1" x14ac:dyDescent="0.25">
      <c r="A186" s="70" t="s">
        <v>68</v>
      </c>
      <c r="B186" s="71"/>
      <c r="C186" s="106" t="s">
        <v>111</v>
      </c>
      <c r="D186" s="94"/>
      <c r="E186" s="39"/>
      <c r="F186" s="39"/>
      <c r="G186" s="39"/>
      <c r="H186" s="39"/>
      <c r="I186" s="39"/>
      <c r="J186" s="39"/>
      <c r="K186" s="39"/>
      <c r="L186" s="39"/>
      <c r="M186" s="39"/>
      <c r="N186" s="39"/>
      <c r="O186" s="94"/>
      <c r="P186" s="94"/>
      <c r="Q186" s="40"/>
      <c r="R186" s="94"/>
      <c r="S186" s="41"/>
      <c r="T186" s="2"/>
      <c r="U186" s="7"/>
    </row>
    <row r="187" spans="1:28" ht="31.5" customHeight="1" x14ac:dyDescent="0.25">
      <c r="A187" s="34">
        <v>1</v>
      </c>
      <c r="B187" s="43" t="s">
        <v>253</v>
      </c>
      <c r="C187" s="44" t="s">
        <v>218</v>
      </c>
      <c r="D187" s="34" t="s">
        <v>254</v>
      </c>
      <c r="E187" s="45">
        <v>46154</v>
      </c>
      <c r="F187" s="45">
        <v>46173</v>
      </c>
      <c r="G187" s="46">
        <f ca="1">SUMPRODUCT(--(WEEKDAY(ROW(INDIRECT($E165:$E216&amp;":"&amp;$F165:$F211)),1)=1))</f>
        <v>3</v>
      </c>
      <c r="H187" s="46">
        <f ca="1">SUMPRODUCT(--(WEEKDAY(ROW(INDIRECT($E165:$E216&amp;":"&amp;$F165:$F211)),1)=2))</f>
        <v>2</v>
      </c>
      <c r="I187" s="46">
        <f ca="1">SUMPRODUCT(--(WEEKDAY(ROW(INDIRECT($E165:$E216&amp;":"&amp;$F165:$F211)),1)=3))</f>
        <v>3</v>
      </c>
      <c r="J187" s="46">
        <f ca="1">SUMPRODUCT(--(WEEKDAY(ROW(INDIRECT($E165:$E216&amp;":"&amp;$F165:$F211)),1)=4))</f>
        <v>3</v>
      </c>
      <c r="K187" s="46">
        <f ca="1">SUMPRODUCT(--(WEEKDAY(ROW(INDIRECT($E165:$E216&amp;":"&amp;$F165:$F211)),1)=5))</f>
        <v>3</v>
      </c>
      <c r="L187" s="46">
        <f ca="1">SUMPRODUCT(--(WEEKDAY(ROW(INDIRECT($E165:$E216&amp;":"&amp;$F165:$F211)),1)=6))</f>
        <v>3</v>
      </c>
      <c r="M187" s="46">
        <f ca="1">SUMPRODUCT(--(WEEKDAY(ROW(INDIRECT($E165:$E216&amp;":"&amp;$F165:$F211)),1)=7))</f>
        <v>3</v>
      </c>
      <c r="N187" s="46">
        <f t="shared" ref="N187:N191" ca="1" si="77">SUM(H187:M187)</f>
        <v>17</v>
      </c>
      <c r="O187" s="47">
        <f t="shared" ref="O187:O191" si="78">F187-E187+1</f>
        <v>20</v>
      </c>
      <c r="P187" s="47"/>
      <c r="Q187" s="48"/>
      <c r="R187" s="45"/>
      <c r="S187" s="45"/>
      <c r="T187" s="9" t="s">
        <v>79</v>
      </c>
      <c r="U187" s="19" t="s">
        <v>70</v>
      </c>
      <c r="V187" s="67"/>
    </row>
    <row r="188" spans="1:28" ht="31.5" customHeight="1" x14ac:dyDescent="0.25">
      <c r="A188" s="34">
        <v>2</v>
      </c>
      <c r="B188" s="43" t="s">
        <v>127</v>
      </c>
      <c r="C188" s="44" t="s">
        <v>128</v>
      </c>
      <c r="D188" s="34" t="s">
        <v>129</v>
      </c>
      <c r="E188" s="45">
        <v>46138</v>
      </c>
      <c r="F188" s="45">
        <v>46158</v>
      </c>
      <c r="G188" s="46">
        <f ca="1">SUMPRODUCT(--(WEEKDAY(ROW(INDIRECT($E183:$E225&amp;":"&amp;$F183:$F212)),1)=1))</f>
        <v>3</v>
      </c>
      <c r="H188" s="46">
        <f ca="1">SUMPRODUCT(--(WEEKDAY(ROW(INDIRECT($E183:$E225&amp;":"&amp;$F183:$F212)),1)=2))</f>
        <v>3</v>
      </c>
      <c r="I188" s="46">
        <f ca="1">SUMPRODUCT(--(WEEKDAY(ROW(INDIRECT($E183:$E225&amp;":"&amp;$F183:$F212)),1)=3))</f>
        <v>3</v>
      </c>
      <c r="J188" s="46">
        <f ca="1">SUMPRODUCT(--(WEEKDAY(ROW(INDIRECT($E183:$E225&amp;":"&amp;$F183:$F212)),1)=4))</f>
        <v>3</v>
      </c>
      <c r="K188" s="46">
        <f ca="1">SUMPRODUCT(--(WEEKDAY(ROW(INDIRECT($E183:$E225&amp;":"&amp;$F183:$F212)),1)=5))</f>
        <v>3</v>
      </c>
      <c r="L188" s="46">
        <f ca="1">SUMPRODUCT(--(WEEKDAY(ROW(INDIRECT($E183:$E225&amp;":"&amp;$F183:$F212)),1)=6))</f>
        <v>3</v>
      </c>
      <c r="M188" s="46">
        <f ca="1">SUMPRODUCT(--(WEEKDAY(ROW(INDIRECT($E183:$E225&amp;":"&amp;$F183:$F212)),1)=7))</f>
        <v>3</v>
      </c>
      <c r="N188" s="46">
        <f t="shared" ca="1" si="77"/>
        <v>18</v>
      </c>
      <c r="O188" s="47">
        <f t="shared" si="78"/>
        <v>21</v>
      </c>
      <c r="P188" s="47"/>
      <c r="Q188" s="48"/>
      <c r="R188" s="45"/>
      <c r="S188" s="45"/>
      <c r="T188" s="9" t="s">
        <v>79</v>
      </c>
      <c r="U188" s="19" t="s">
        <v>83</v>
      </c>
      <c r="V188" s="67"/>
    </row>
    <row r="189" spans="1:28" ht="31.5" customHeight="1" x14ac:dyDescent="0.25">
      <c r="A189" s="34">
        <v>3</v>
      </c>
      <c r="B189" s="43"/>
      <c r="C189" s="44"/>
      <c r="D189" s="34"/>
      <c r="E189" s="45"/>
      <c r="F189" s="45"/>
      <c r="G189" s="46" t="e">
        <f ca="1">SUMPRODUCT(--(WEEKDAY(ROW(INDIRECT($E184:$E226&amp;":"&amp;$F184:$F213)),1)=1))</f>
        <v>#REF!</v>
      </c>
      <c r="H189" s="46" t="e">
        <f ca="1">SUMPRODUCT(--(WEEKDAY(ROW(INDIRECT($E184:$E226&amp;":"&amp;$F184:$F213)),1)=2))</f>
        <v>#REF!</v>
      </c>
      <c r="I189" s="46" t="e">
        <f ca="1">SUMPRODUCT(--(WEEKDAY(ROW(INDIRECT($E184:$E226&amp;":"&amp;$F184:$F213)),1)=3))</f>
        <v>#REF!</v>
      </c>
      <c r="J189" s="46" t="e">
        <f ca="1">SUMPRODUCT(--(WEEKDAY(ROW(INDIRECT($E184:$E226&amp;":"&amp;$F184:$F213)),1)=4))</f>
        <v>#REF!</v>
      </c>
      <c r="K189" s="46" t="e">
        <f ca="1">SUMPRODUCT(--(WEEKDAY(ROW(INDIRECT($E184:$E226&amp;":"&amp;$F184:$F213)),1)=5))</f>
        <v>#REF!</v>
      </c>
      <c r="L189" s="46" t="e">
        <f ca="1">SUMPRODUCT(--(WEEKDAY(ROW(INDIRECT($E184:$E226&amp;":"&amp;$F184:$F213)),1)=6))</f>
        <v>#REF!</v>
      </c>
      <c r="M189" s="46" t="e">
        <f ca="1">SUMPRODUCT(--(WEEKDAY(ROW(INDIRECT($E184:$E226&amp;":"&amp;$F184:$F213)),1)=7))</f>
        <v>#REF!</v>
      </c>
      <c r="N189" s="46" t="e">
        <f t="shared" ca="1" si="77"/>
        <v>#REF!</v>
      </c>
      <c r="O189" s="47">
        <f t="shared" si="78"/>
        <v>1</v>
      </c>
      <c r="P189" s="47"/>
      <c r="Q189" s="48"/>
      <c r="R189" s="45"/>
      <c r="S189" s="45"/>
      <c r="T189" s="9" t="s">
        <v>79</v>
      </c>
      <c r="U189" s="19" t="s">
        <v>84</v>
      </c>
      <c r="V189" s="67"/>
    </row>
    <row r="190" spans="1:28" ht="31.5" customHeight="1" x14ac:dyDescent="0.25">
      <c r="A190" s="34">
        <v>4</v>
      </c>
      <c r="B190" s="43"/>
      <c r="C190" s="44"/>
      <c r="D190" s="34"/>
      <c r="E190" s="45"/>
      <c r="F190" s="45"/>
      <c r="G190" s="46" t="e">
        <f ca="1">SUMPRODUCT(--(WEEKDAY(ROW(INDIRECT($E185:$E227&amp;":"&amp;$F185:$F214)),1)=1))</f>
        <v>#REF!</v>
      </c>
      <c r="H190" s="46" t="e">
        <f ca="1">SUMPRODUCT(--(WEEKDAY(ROW(INDIRECT($E185:$E227&amp;":"&amp;$F185:$F214)),1)=2))</f>
        <v>#REF!</v>
      </c>
      <c r="I190" s="46" t="e">
        <f ca="1">SUMPRODUCT(--(WEEKDAY(ROW(INDIRECT($E185:$E227&amp;":"&amp;$F185:$F214)),1)=3))</f>
        <v>#REF!</v>
      </c>
      <c r="J190" s="46" t="e">
        <f ca="1">SUMPRODUCT(--(WEEKDAY(ROW(INDIRECT($E185:$E227&amp;":"&amp;$F185:$F214)),1)=4))</f>
        <v>#REF!</v>
      </c>
      <c r="K190" s="46" t="e">
        <f ca="1">SUMPRODUCT(--(WEEKDAY(ROW(INDIRECT($E185:$E227&amp;":"&amp;$F185:$F214)),1)=5))</f>
        <v>#REF!</v>
      </c>
      <c r="L190" s="46" t="e">
        <f ca="1">SUMPRODUCT(--(WEEKDAY(ROW(INDIRECT($E185:$E227&amp;":"&amp;$F185:$F214)),1)=6))</f>
        <v>#REF!</v>
      </c>
      <c r="M190" s="46" t="e">
        <f ca="1">SUMPRODUCT(--(WEEKDAY(ROW(INDIRECT($E185:$E227&amp;":"&amp;$F185:$F214)),1)=7))</f>
        <v>#REF!</v>
      </c>
      <c r="N190" s="46" t="e">
        <f t="shared" ca="1" si="77"/>
        <v>#REF!</v>
      </c>
      <c r="O190" s="47">
        <f t="shared" si="78"/>
        <v>1</v>
      </c>
      <c r="P190" s="47"/>
      <c r="Q190" s="48"/>
      <c r="R190" s="45"/>
      <c r="S190" s="45"/>
      <c r="T190" s="9" t="s">
        <v>79</v>
      </c>
      <c r="U190" s="19" t="s">
        <v>70</v>
      </c>
      <c r="V190" s="67"/>
    </row>
    <row r="191" spans="1:28" ht="31.5" customHeight="1" x14ac:dyDescent="0.25">
      <c r="A191" s="34">
        <v>5</v>
      </c>
      <c r="B191" s="43"/>
      <c r="C191" s="44"/>
      <c r="D191" s="34"/>
      <c r="E191" s="45"/>
      <c r="F191" s="45"/>
      <c r="G191" s="46" t="e">
        <f ca="1">SUMPRODUCT(--(WEEKDAY(ROW(INDIRECT($E186:$E228&amp;":"&amp;$F186:$F215)),1)=1))</f>
        <v>#REF!</v>
      </c>
      <c r="H191" s="46" t="e">
        <f ca="1">SUMPRODUCT(--(WEEKDAY(ROW(INDIRECT($E186:$E228&amp;":"&amp;$F186:$F215)),1)=2))</f>
        <v>#REF!</v>
      </c>
      <c r="I191" s="46" t="e">
        <f ca="1">SUMPRODUCT(--(WEEKDAY(ROW(INDIRECT($E186:$E228&amp;":"&amp;$F186:$F215)),1)=3))</f>
        <v>#REF!</v>
      </c>
      <c r="J191" s="46" t="e">
        <f ca="1">SUMPRODUCT(--(WEEKDAY(ROW(INDIRECT($E186:$E228&amp;":"&amp;$F186:$F215)),1)=4))</f>
        <v>#REF!</v>
      </c>
      <c r="K191" s="46" t="e">
        <f ca="1">SUMPRODUCT(--(WEEKDAY(ROW(INDIRECT($E186:$E228&amp;":"&amp;$F186:$F215)),1)=5))</f>
        <v>#REF!</v>
      </c>
      <c r="L191" s="46" t="e">
        <f ca="1">SUMPRODUCT(--(WEEKDAY(ROW(INDIRECT($E186:$E228&amp;":"&amp;$F186:$F215)),1)=6))</f>
        <v>#REF!</v>
      </c>
      <c r="M191" s="46" t="e">
        <f ca="1">SUMPRODUCT(--(WEEKDAY(ROW(INDIRECT($E186:$E228&amp;":"&amp;$F186:$F215)),1)=7))</f>
        <v>#REF!</v>
      </c>
      <c r="N191" s="46" t="e">
        <f t="shared" ca="1" si="77"/>
        <v>#REF!</v>
      </c>
      <c r="O191" s="47">
        <f t="shared" si="78"/>
        <v>1</v>
      </c>
      <c r="P191" s="47"/>
      <c r="Q191" s="48"/>
      <c r="R191" s="45"/>
      <c r="S191" s="45"/>
      <c r="T191" s="9" t="s">
        <v>79</v>
      </c>
      <c r="U191" s="19" t="s">
        <v>70</v>
      </c>
      <c r="V191" s="67"/>
    </row>
    <row r="192" spans="1:28" ht="31.5" customHeight="1" x14ac:dyDescent="0.25">
      <c r="A192" s="35" t="s">
        <v>66</v>
      </c>
      <c r="B192" s="36"/>
      <c r="C192" s="38" t="s">
        <v>79</v>
      </c>
      <c r="D192" s="35"/>
      <c r="E192" s="39"/>
      <c r="F192" s="39"/>
      <c r="G192" s="39"/>
      <c r="H192" s="39"/>
      <c r="I192" s="39"/>
      <c r="J192" s="39"/>
      <c r="K192" s="39"/>
      <c r="L192" s="39"/>
      <c r="M192" s="39"/>
      <c r="N192" s="39"/>
      <c r="O192" s="35"/>
      <c r="P192" s="35"/>
      <c r="Q192" s="40"/>
      <c r="R192" s="39"/>
      <c r="S192" s="41"/>
      <c r="T192" s="2"/>
      <c r="U192" s="7"/>
    </row>
    <row r="193" spans="1:22" ht="31.5" customHeight="1" x14ac:dyDescent="0.25">
      <c r="A193" s="70" t="s">
        <v>68</v>
      </c>
      <c r="B193" s="71"/>
      <c r="C193" s="56" t="s">
        <v>80</v>
      </c>
      <c r="D193" s="35"/>
      <c r="E193" s="39"/>
      <c r="F193" s="39"/>
      <c r="G193" s="39"/>
      <c r="H193" s="39"/>
      <c r="I193" s="39"/>
      <c r="J193" s="39"/>
      <c r="K193" s="39"/>
      <c r="L193" s="39"/>
      <c r="M193" s="39"/>
      <c r="N193" s="39"/>
      <c r="O193" s="35"/>
      <c r="P193" s="35"/>
      <c r="Q193" s="40"/>
      <c r="R193" s="35"/>
      <c r="S193" s="41"/>
      <c r="T193" s="2"/>
      <c r="U193" s="7"/>
    </row>
    <row r="194" spans="1:22" ht="31.5" customHeight="1" x14ac:dyDescent="0.25">
      <c r="A194" s="34" t="s">
        <v>81</v>
      </c>
      <c r="B194" s="72"/>
      <c r="C194" s="44" t="s">
        <v>82</v>
      </c>
      <c r="D194" s="35"/>
      <c r="E194" s="39"/>
      <c r="F194" s="39"/>
      <c r="G194" s="42" t="s">
        <v>31</v>
      </c>
      <c r="H194" s="42" t="s">
        <v>32</v>
      </c>
      <c r="I194" s="42" t="s">
        <v>33</v>
      </c>
      <c r="J194" s="42" t="s">
        <v>34</v>
      </c>
      <c r="K194" s="42" t="s">
        <v>35</v>
      </c>
      <c r="L194" s="42" t="s">
        <v>36</v>
      </c>
      <c r="M194" s="42" t="s">
        <v>37</v>
      </c>
      <c r="N194" s="42" t="s">
        <v>38</v>
      </c>
      <c r="O194" s="35"/>
      <c r="P194" s="35"/>
      <c r="Q194" s="40"/>
      <c r="R194" s="35"/>
      <c r="S194" s="41"/>
      <c r="T194" s="2"/>
      <c r="U194" s="7"/>
    </row>
    <row r="195" spans="1:22" ht="31.5" customHeight="1" x14ac:dyDescent="0.25">
      <c r="A195" s="34">
        <v>1</v>
      </c>
      <c r="B195" s="43" t="s">
        <v>255</v>
      </c>
      <c r="C195" s="44" t="s">
        <v>256</v>
      </c>
      <c r="D195" s="34" t="s">
        <v>257</v>
      </c>
      <c r="E195" s="45">
        <v>46144</v>
      </c>
      <c r="F195" s="45">
        <v>46326</v>
      </c>
      <c r="G195" s="46">
        <f ca="1">SUMPRODUCT(--(WEEKDAY(ROW(INDIRECT($E190:$E248&amp;":"&amp;$F190:$F227)),1)=1))</f>
        <v>26</v>
      </c>
      <c r="H195" s="46">
        <f ca="1">SUMPRODUCT(--(WEEKDAY(ROW(INDIRECT($E190:$E248&amp;":"&amp;$F190:$F227)),1)=2))</f>
        <v>26</v>
      </c>
      <c r="I195" s="46">
        <f ca="1">SUMPRODUCT(--(WEEKDAY(ROW(INDIRECT($E190:$E248&amp;":"&amp;$F190:$F227)),1)=3))</f>
        <v>26</v>
      </c>
      <c r="J195" s="46">
        <f ca="1">SUMPRODUCT(--(WEEKDAY(ROW(INDIRECT($E190:$E248&amp;":"&amp;$F190:$F227)),1)=4))</f>
        <v>26</v>
      </c>
      <c r="K195" s="46">
        <f ca="1">SUMPRODUCT(--(WEEKDAY(ROW(INDIRECT($E190:$E248&amp;":"&amp;$F190:$F227)),1)=5))</f>
        <v>26</v>
      </c>
      <c r="L195" s="46">
        <f ca="1">SUMPRODUCT(--(WEEKDAY(ROW(INDIRECT($E190:$E248&amp;":"&amp;$F190:$F227)),1)=6))</f>
        <v>26</v>
      </c>
      <c r="M195" s="46">
        <f ca="1">SUMPRODUCT(--(WEEKDAY(ROW(INDIRECT($E190:$E248&amp;":"&amp;$F190:$F227)),1)=7))</f>
        <v>27</v>
      </c>
      <c r="N195" s="46">
        <f t="shared" ref="N195:N211" ca="1" si="79">SUM(H195:M195)</f>
        <v>157</v>
      </c>
      <c r="O195" s="47">
        <f t="shared" ref="O195:O211" si="80">F195-E195+1</f>
        <v>183</v>
      </c>
      <c r="P195" s="47"/>
      <c r="Q195" s="48"/>
      <c r="R195" s="45"/>
      <c r="S195" s="45"/>
      <c r="T195" s="9" t="s">
        <v>79</v>
      </c>
      <c r="U195" s="19" t="s">
        <v>70</v>
      </c>
      <c r="V195" s="67"/>
    </row>
    <row r="196" spans="1:22" ht="31.5" customHeight="1" x14ac:dyDescent="0.25">
      <c r="A196" s="34">
        <v>2</v>
      </c>
      <c r="B196" s="43" t="s">
        <v>258</v>
      </c>
      <c r="C196" s="44" t="s">
        <v>259</v>
      </c>
      <c r="D196" s="34" t="s">
        <v>260</v>
      </c>
      <c r="E196" s="45">
        <v>46146</v>
      </c>
      <c r="F196" s="45">
        <v>46329</v>
      </c>
      <c r="G196" s="46">
        <f ca="1">SUMPRODUCT(--(WEEKDAY(ROW(INDIRECT($E191:$E249&amp;":"&amp;$F191:$F228)),1)=1))</f>
        <v>26</v>
      </c>
      <c r="H196" s="46">
        <f ca="1">SUMPRODUCT(--(WEEKDAY(ROW(INDIRECT($E191:$E249&amp;":"&amp;$F191:$F228)),1)=2))</f>
        <v>27</v>
      </c>
      <c r="I196" s="46">
        <f ca="1">SUMPRODUCT(--(WEEKDAY(ROW(INDIRECT($E191:$E249&amp;":"&amp;$F191:$F228)),1)=3))</f>
        <v>27</v>
      </c>
      <c r="J196" s="46">
        <f ca="1">SUMPRODUCT(--(WEEKDAY(ROW(INDIRECT($E191:$E249&amp;":"&amp;$F191:$F228)),1)=4))</f>
        <v>26</v>
      </c>
      <c r="K196" s="46">
        <f ca="1">SUMPRODUCT(--(WEEKDAY(ROW(INDIRECT($E191:$E249&amp;":"&amp;$F191:$F228)),1)=5))</f>
        <v>26</v>
      </c>
      <c r="L196" s="46">
        <f ca="1">SUMPRODUCT(--(WEEKDAY(ROW(INDIRECT($E191:$E249&amp;":"&amp;$F191:$F228)),1)=6))</f>
        <v>26</v>
      </c>
      <c r="M196" s="46">
        <f ca="1">SUMPRODUCT(--(WEEKDAY(ROW(INDIRECT($E191:$E249&amp;":"&amp;$F191:$F228)),1)=7))</f>
        <v>26</v>
      </c>
      <c r="N196" s="46">
        <f t="shared" ca="1" si="79"/>
        <v>158</v>
      </c>
      <c r="O196" s="47">
        <f t="shared" si="80"/>
        <v>184</v>
      </c>
      <c r="P196" s="47"/>
      <c r="Q196" s="48"/>
      <c r="R196" s="45"/>
      <c r="S196" s="45"/>
      <c r="T196" s="9" t="s">
        <v>79</v>
      </c>
      <c r="U196" s="19" t="s">
        <v>83</v>
      </c>
      <c r="V196" s="67"/>
    </row>
    <row r="197" spans="1:22" ht="31.5" customHeight="1" x14ac:dyDescent="0.25">
      <c r="A197" s="34"/>
      <c r="B197" s="43"/>
      <c r="C197" s="44"/>
      <c r="D197" s="34"/>
      <c r="E197" s="45"/>
      <c r="F197" s="45"/>
      <c r="G197" s="46" t="e">
        <f ca="1">SUMPRODUCT(--(WEEKDAY(ROW(INDIRECT($E192:$E250&amp;":"&amp;$F192:$F243)),1)=1))</f>
        <v>#REF!</v>
      </c>
      <c r="H197" s="46" t="e">
        <f ca="1">SUMPRODUCT(--(WEEKDAY(ROW(INDIRECT($E192:$E250&amp;":"&amp;$F192:$F243)),1)=2))</f>
        <v>#REF!</v>
      </c>
      <c r="I197" s="46" t="e">
        <f ca="1">SUMPRODUCT(--(WEEKDAY(ROW(INDIRECT($E192:$E250&amp;":"&amp;$F192:$F243)),1)=3))</f>
        <v>#REF!</v>
      </c>
      <c r="J197" s="46" t="e">
        <f ca="1">SUMPRODUCT(--(WEEKDAY(ROW(INDIRECT($E192:$E250&amp;":"&amp;$F192:$F243)),1)=4))</f>
        <v>#REF!</v>
      </c>
      <c r="K197" s="46" t="e">
        <f ca="1">SUMPRODUCT(--(WEEKDAY(ROW(INDIRECT($E192:$E250&amp;":"&amp;$F192:$F243)),1)=5))</f>
        <v>#REF!</v>
      </c>
      <c r="L197" s="46" t="e">
        <f ca="1">SUMPRODUCT(--(WEEKDAY(ROW(INDIRECT($E192:$E250&amp;":"&amp;$F192:$F243)),1)=6))</f>
        <v>#REF!</v>
      </c>
      <c r="M197" s="46" t="e">
        <f ca="1">SUMPRODUCT(--(WEEKDAY(ROW(INDIRECT($E192:$E250&amp;":"&amp;$F192:$F243)),1)=7))</f>
        <v>#REF!</v>
      </c>
      <c r="N197" s="46" t="e">
        <f t="shared" ca="1" si="79"/>
        <v>#REF!</v>
      </c>
      <c r="O197" s="47">
        <f t="shared" si="80"/>
        <v>1</v>
      </c>
      <c r="P197" s="47"/>
      <c r="Q197" s="48"/>
      <c r="R197" s="45"/>
      <c r="S197" s="45"/>
      <c r="T197" s="9" t="s">
        <v>79</v>
      </c>
      <c r="U197" s="19" t="s">
        <v>84</v>
      </c>
      <c r="V197" s="67"/>
    </row>
    <row r="198" spans="1:22" ht="31.5" customHeight="1" x14ac:dyDescent="0.25">
      <c r="A198" s="34"/>
      <c r="B198" s="43"/>
      <c r="C198" s="44"/>
      <c r="D198" s="34"/>
      <c r="E198" s="45"/>
      <c r="F198" s="45"/>
      <c r="G198" s="46" t="e">
        <f ca="1">SUMPRODUCT(--(WEEKDAY(ROW(INDIRECT($E193:$E251&amp;":"&amp;$F193:$F244)),1)=1))</f>
        <v>#REF!</v>
      </c>
      <c r="H198" s="46" t="e">
        <f ca="1">SUMPRODUCT(--(WEEKDAY(ROW(INDIRECT($E193:$E251&amp;":"&amp;$F193:$F244)),1)=2))</f>
        <v>#REF!</v>
      </c>
      <c r="I198" s="46" t="e">
        <f ca="1">SUMPRODUCT(--(WEEKDAY(ROW(INDIRECT($E193:$E251&amp;":"&amp;$F193:$F244)),1)=3))</f>
        <v>#REF!</v>
      </c>
      <c r="J198" s="46" t="e">
        <f ca="1">SUMPRODUCT(--(WEEKDAY(ROW(INDIRECT($E193:$E251&amp;":"&amp;$F193:$F244)),1)=4))</f>
        <v>#REF!</v>
      </c>
      <c r="K198" s="46" t="e">
        <f ca="1">SUMPRODUCT(--(WEEKDAY(ROW(INDIRECT($E193:$E251&amp;":"&amp;$F193:$F244)),1)=5))</f>
        <v>#REF!</v>
      </c>
      <c r="L198" s="46" t="e">
        <f ca="1">SUMPRODUCT(--(WEEKDAY(ROW(INDIRECT($E193:$E251&amp;":"&amp;$F193:$F244)),1)=6))</f>
        <v>#REF!</v>
      </c>
      <c r="M198" s="46" t="e">
        <f ca="1">SUMPRODUCT(--(WEEKDAY(ROW(INDIRECT($E193:$E251&amp;":"&amp;$F193:$F244)),1)=7))</f>
        <v>#REF!</v>
      </c>
      <c r="N198" s="46" t="e">
        <f t="shared" ref="N198:N210" ca="1" si="81">SUM(H198:M198)</f>
        <v>#REF!</v>
      </c>
      <c r="O198" s="47">
        <f t="shared" ref="O198:O210" si="82">F198-E198+1</f>
        <v>1</v>
      </c>
      <c r="P198" s="47"/>
      <c r="Q198" s="48"/>
      <c r="R198" s="45"/>
      <c r="S198" s="45"/>
      <c r="T198" s="9" t="s">
        <v>79</v>
      </c>
      <c r="U198" s="19" t="s">
        <v>84</v>
      </c>
      <c r="V198" s="67"/>
    </row>
    <row r="199" spans="1:22" ht="31.5" customHeight="1" x14ac:dyDescent="0.25">
      <c r="A199" s="34"/>
      <c r="B199" s="43"/>
      <c r="C199" s="44"/>
      <c r="D199" s="34"/>
      <c r="E199" s="45"/>
      <c r="F199" s="45"/>
      <c r="G199" s="46" t="e">
        <f ca="1">SUMPRODUCT(--(WEEKDAY(ROW(INDIRECT($E194:$E252&amp;":"&amp;$F194:$F245)),1)=1))</f>
        <v>#REF!</v>
      </c>
      <c r="H199" s="46" t="e">
        <f ca="1">SUMPRODUCT(--(WEEKDAY(ROW(INDIRECT($E194:$E252&amp;":"&amp;$F194:$F245)),1)=2))</f>
        <v>#REF!</v>
      </c>
      <c r="I199" s="46" t="e">
        <f ca="1">SUMPRODUCT(--(WEEKDAY(ROW(INDIRECT($E194:$E252&amp;":"&amp;$F194:$F245)),1)=3))</f>
        <v>#REF!</v>
      </c>
      <c r="J199" s="46" t="e">
        <f ca="1">SUMPRODUCT(--(WEEKDAY(ROW(INDIRECT($E194:$E252&amp;":"&amp;$F194:$F245)),1)=4))</f>
        <v>#REF!</v>
      </c>
      <c r="K199" s="46" t="e">
        <f ca="1">SUMPRODUCT(--(WEEKDAY(ROW(INDIRECT($E194:$E252&amp;":"&amp;$F194:$F245)),1)=5))</f>
        <v>#REF!</v>
      </c>
      <c r="L199" s="46" t="e">
        <f ca="1">SUMPRODUCT(--(WEEKDAY(ROW(INDIRECT($E194:$E252&amp;":"&amp;$F194:$F245)),1)=6))</f>
        <v>#REF!</v>
      </c>
      <c r="M199" s="46" t="e">
        <f ca="1">SUMPRODUCT(--(WEEKDAY(ROW(INDIRECT($E194:$E252&amp;":"&amp;$F194:$F245)),1)=7))</f>
        <v>#REF!</v>
      </c>
      <c r="N199" s="46" t="e">
        <f t="shared" ca="1" si="81"/>
        <v>#REF!</v>
      </c>
      <c r="O199" s="47">
        <f t="shared" si="82"/>
        <v>1</v>
      </c>
      <c r="P199" s="47"/>
      <c r="Q199" s="48"/>
      <c r="R199" s="45"/>
      <c r="S199" s="45"/>
      <c r="T199" s="9" t="s">
        <v>79</v>
      </c>
      <c r="U199" s="19" t="s">
        <v>84</v>
      </c>
      <c r="V199" s="67"/>
    </row>
    <row r="200" spans="1:22" ht="31.5" customHeight="1" x14ac:dyDescent="0.25">
      <c r="A200" s="34"/>
      <c r="B200" s="43"/>
      <c r="C200" s="44"/>
      <c r="D200" s="34"/>
      <c r="E200" s="45"/>
      <c r="F200" s="45"/>
      <c r="G200" s="46" t="e">
        <f ca="1">SUMPRODUCT(--(WEEKDAY(ROW(INDIRECT($E195:$E253&amp;":"&amp;$F195:$F248)),1)=1))</f>
        <v>#REF!</v>
      </c>
      <c r="H200" s="46" t="e">
        <f ca="1">SUMPRODUCT(--(WEEKDAY(ROW(INDIRECT($E195:$E253&amp;":"&amp;$F195:$F248)),1)=2))</f>
        <v>#REF!</v>
      </c>
      <c r="I200" s="46" t="e">
        <f ca="1">SUMPRODUCT(--(WEEKDAY(ROW(INDIRECT($E195:$E253&amp;":"&amp;$F195:$F248)),1)=3))</f>
        <v>#REF!</v>
      </c>
      <c r="J200" s="46" t="e">
        <f ca="1">SUMPRODUCT(--(WEEKDAY(ROW(INDIRECT($E195:$E253&amp;":"&amp;$F195:$F248)),1)=4))</f>
        <v>#REF!</v>
      </c>
      <c r="K200" s="46" t="e">
        <f ca="1">SUMPRODUCT(--(WEEKDAY(ROW(INDIRECT($E195:$E253&amp;":"&amp;$F195:$F248)),1)=5))</f>
        <v>#REF!</v>
      </c>
      <c r="L200" s="46" t="e">
        <f ca="1">SUMPRODUCT(--(WEEKDAY(ROW(INDIRECT($E195:$E253&amp;":"&amp;$F195:$F248)),1)=6))</f>
        <v>#REF!</v>
      </c>
      <c r="M200" s="46" t="e">
        <f ca="1">SUMPRODUCT(--(WEEKDAY(ROW(INDIRECT($E195:$E253&amp;":"&amp;$F195:$F248)),1)=7))</f>
        <v>#REF!</v>
      </c>
      <c r="N200" s="46" t="e">
        <f t="shared" ca="1" si="81"/>
        <v>#REF!</v>
      </c>
      <c r="O200" s="47">
        <f t="shared" si="82"/>
        <v>1</v>
      </c>
      <c r="P200" s="47"/>
      <c r="Q200" s="48"/>
      <c r="R200" s="45"/>
      <c r="S200" s="45"/>
      <c r="T200" s="9" t="s">
        <v>79</v>
      </c>
      <c r="U200" s="19" t="s">
        <v>84</v>
      </c>
      <c r="V200" s="67"/>
    </row>
    <row r="201" spans="1:22" ht="31.5" customHeight="1" x14ac:dyDescent="0.25">
      <c r="A201" s="34"/>
      <c r="B201" s="43"/>
      <c r="C201" s="44"/>
      <c r="D201" s="34"/>
      <c r="E201" s="45"/>
      <c r="F201" s="45"/>
      <c r="G201" s="46" t="e">
        <f ca="1">SUMPRODUCT(--(WEEKDAY(ROW(INDIRECT($E196:$E254&amp;":"&amp;$F196:$F249)),1)=1))</f>
        <v>#REF!</v>
      </c>
      <c r="H201" s="46" t="e">
        <f ca="1">SUMPRODUCT(--(WEEKDAY(ROW(INDIRECT($E196:$E254&amp;":"&amp;$F196:$F249)),1)=2))</f>
        <v>#REF!</v>
      </c>
      <c r="I201" s="46" t="e">
        <f ca="1">SUMPRODUCT(--(WEEKDAY(ROW(INDIRECT($E196:$E254&amp;":"&amp;$F196:$F249)),1)=3))</f>
        <v>#REF!</v>
      </c>
      <c r="J201" s="46" t="e">
        <f ca="1">SUMPRODUCT(--(WEEKDAY(ROW(INDIRECT($E196:$E254&amp;":"&amp;$F196:$F249)),1)=4))</f>
        <v>#REF!</v>
      </c>
      <c r="K201" s="46" t="e">
        <f ca="1">SUMPRODUCT(--(WEEKDAY(ROW(INDIRECT($E196:$E254&amp;":"&amp;$F196:$F249)),1)=5))</f>
        <v>#REF!</v>
      </c>
      <c r="L201" s="46" t="e">
        <f ca="1">SUMPRODUCT(--(WEEKDAY(ROW(INDIRECT($E196:$E254&amp;":"&amp;$F196:$F249)),1)=6))</f>
        <v>#REF!</v>
      </c>
      <c r="M201" s="46" t="e">
        <f ca="1">SUMPRODUCT(--(WEEKDAY(ROW(INDIRECT($E196:$E254&amp;":"&amp;$F196:$F249)),1)=7))</f>
        <v>#REF!</v>
      </c>
      <c r="N201" s="46" t="e">
        <f t="shared" ca="1" si="81"/>
        <v>#REF!</v>
      </c>
      <c r="O201" s="47">
        <f t="shared" si="82"/>
        <v>1</v>
      </c>
      <c r="P201" s="47"/>
      <c r="Q201" s="48"/>
      <c r="R201" s="45"/>
      <c r="S201" s="45"/>
      <c r="T201" s="9" t="s">
        <v>79</v>
      </c>
      <c r="U201" s="19" t="s">
        <v>84</v>
      </c>
      <c r="V201" s="67"/>
    </row>
    <row r="202" spans="1:22" ht="31.5" customHeight="1" x14ac:dyDescent="0.25">
      <c r="A202" s="34"/>
      <c r="B202" s="43"/>
      <c r="C202" s="44"/>
      <c r="D202" s="34"/>
      <c r="E202" s="45"/>
      <c r="F202" s="45"/>
      <c r="G202" s="46" t="e">
        <f ca="1">SUMPRODUCT(--(WEEKDAY(ROW(INDIRECT($E197:$E255&amp;":"&amp;$F197:$F250)),1)=1))</f>
        <v>#REF!</v>
      </c>
      <c r="H202" s="46" t="e">
        <f ca="1">SUMPRODUCT(--(WEEKDAY(ROW(INDIRECT($E197:$E255&amp;":"&amp;$F197:$F250)),1)=2))</f>
        <v>#REF!</v>
      </c>
      <c r="I202" s="46" t="e">
        <f ca="1">SUMPRODUCT(--(WEEKDAY(ROW(INDIRECT($E197:$E255&amp;":"&amp;$F197:$F250)),1)=3))</f>
        <v>#REF!</v>
      </c>
      <c r="J202" s="46" t="e">
        <f ca="1">SUMPRODUCT(--(WEEKDAY(ROW(INDIRECT($E197:$E255&amp;":"&amp;$F197:$F250)),1)=4))</f>
        <v>#REF!</v>
      </c>
      <c r="K202" s="46" t="e">
        <f ca="1">SUMPRODUCT(--(WEEKDAY(ROW(INDIRECT($E197:$E255&amp;":"&amp;$F197:$F250)),1)=5))</f>
        <v>#REF!</v>
      </c>
      <c r="L202" s="46" t="e">
        <f ca="1">SUMPRODUCT(--(WEEKDAY(ROW(INDIRECT($E197:$E255&amp;":"&amp;$F197:$F250)),1)=6))</f>
        <v>#REF!</v>
      </c>
      <c r="M202" s="46" t="e">
        <f ca="1">SUMPRODUCT(--(WEEKDAY(ROW(INDIRECT($E197:$E255&amp;":"&amp;$F197:$F250)),1)=7))</f>
        <v>#REF!</v>
      </c>
      <c r="N202" s="46" t="e">
        <f t="shared" ca="1" si="81"/>
        <v>#REF!</v>
      </c>
      <c r="O202" s="47">
        <f t="shared" si="82"/>
        <v>1</v>
      </c>
      <c r="P202" s="47"/>
      <c r="Q202" s="48"/>
      <c r="R202" s="45"/>
      <c r="S202" s="45"/>
      <c r="T202" s="9" t="s">
        <v>79</v>
      </c>
      <c r="U202" s="19" t="s">
        <v>84</v>
      </c>
      <c r="V202" s="67"/>
    </row>
    <row r="203" spans="1:22" ht="31.5" customHeight="1" x14ac:dyDescent="0.25">
      <c r="A203" s="34"/>
      <c r="B203" s="43"/>
      <c r="C203" s="44"/>
      <c r="D203" s="34"/>
      <c r="E203" s="45"/>
      <c r="F203" s="45"/>
      <c r="G203" s="46" t="e">
        <f ca="1">SUMPRODUCT(--(WEEKDAY(ROW(INDIRECT($E198:$E256&amp;":"&amp;$F198:$F251)),1)=1))</f>
        <v>#REF!</v>
      </c>
      <c r="H203" s="46" t="e">
        <f ca="1">SUMPRODUCT(--(WEEKDAY(ROW(INDIRECT($E198:$E256&amp;":"&amp;$F198:$F251)),1)=2))</f>
        <v>#REF!</v>
      </c>
      <c r="I203" s="46" t="e">
        <f ca="1">SUMPRODUCT(--(WEEKDAY(ROW(INDIRECT($E198:$E256&amp;":"&amp;$F198:$F251)),1)=3))</f>
        <v>#REF!</v>
      </c>
      <c r="J203" s="46" t="e">
        <f ca="1">SUMPRODUCT(--(WEEKDAY(ROW(INDIRECT($E198:$E256&amp;":"&amp;$F198:$F251)),1)=4))</f>
        <v>#REF!</v>
      </c>
      <c r="K203" s="46" t="e">
        <f ca="1">SUMPRODUCT(--(WEEKDAY(ROW(INDIRECT($E198:$E256&amp;":"&amp;$F198:$F251)),1)=5))</f>
        <v>#REF!</v>
      </c>
      <c r="L203" s="46" t="e">
        <f ca="1">SUMPRODUCT(--(WEEKDAY(ROW(INDIRECT($E198:$E256&amp;":"&amp;$F198:$F251)),1)=6))</f>
        <v>#REF!</v>
      </c>
      <c r="M203" s="46" t="e">
        <f ca="1">SUMPRODUCT(--(WEEKDAY(ROW(INDIRECT($E198:$E256&amp;":"&amp;$F198:$F251)),1)=7))</f>
        <v>#REF!</v>
      </c>
      <c r="N203" s="46" t="e">
        <f t="shared" ca="1" si="81"/>
        <v>#REF!</v>
      </c>
      <c r="O203" s="47">
        <f t="shared" si="82"/>
        <v>1</v>
      </c>
      <c r="P203" s="47"/>
      <c r="Q203" s="48"/>
      <c r="R203" s="45"/>
      <c r="S203" s="45"/>
      <c r="T203" s="9" t="s">
        <v>79</v>
      </c>
      <c r="U203" s="19" t="s">
        <v>84</v>
      </c>
      <c r="V203" s="67"/>
    </row>
    <row r="204" spans="1:22" ht="31.5" customHeight="1" x14ac:dyDescent="0.25">
      <c r="A204" s="34"/>
      <c r="B204" s="43"/>
      <c r="C204" s="44"/>
      <c r="D204" s="34"/>
      <c r="E204" s="45"/>
      <c r="F204" s="45"/>
      <c r="G204" s="46" t="e">
        <f ca="1">SUMPRODUCT(--(WEEKDAY(ROW(INDIRECT($E199:$E267&amp;":"&amp;$F199:$F252)),1)=1))</f>
        <v>#REF!</v>
      </c>
      <c r="H204" s="46" t="e">
        <f ca="1">SUMPRODUCT(--(WEEKDAY(ROW(INDIRECT($E199:$E267&amp;":"&amp;$F199:$F252)),1)=2))</f>
        <v>#REF!</v>
      </c>
      <c r="I204" s="46" t="e">
        <f ca="1">SUMPRODUCT(--(WEEKDAY(ROW(INDIRECT($E199:$E267&amp;":"&amp;$F199:$F252)),1)=3))</f>
        <v>#REF!</v>
      </c>
      <c r="J204" s="46" t="e">
        <f ca="1">SUMPRODUCT(--(WEEKDAY(ROW(INDIRECT($E199:$E267&amp;":"&amp;$F199:$F252)),1)=4))</f>
        <v>#REF!</v>
      </c>
      <c r="K204" s="46" t="e">
        <f ca="1">SUMPRODUCT(--(WEEKDAY(ROW(INDIRECT($E199:$E267&amp;":"&amp;$F199:$F252)),1)=5))</f>
        <v>#REF!</v>
      </c>
      <c r="L204" s="46" t="e">
        <f ca="1">SUMPRODUCT(--(WEEKDAY(ROW(INDIRECT($E199:$E267&amp;":"&amp;$F199:$F252)),1)=6))</f>
        <v>#REF!</v>
      </c>
      <c r="M204" s="46" t="e">
        <f ca="1">SUMPRODUCT(--(WEEKDAY(ROW(INDIRECT($E199:$E267&amp;":"&amp;$F199:$F252)),1)=7))</f>
        <v>#REF!</v>
      </c>
      <c r="N204" s="46" t="e">
        <f t="shared" ca="1" si="81"/>
        <v>#REF!</v>
      </c>
      <c r="O204" s="47">
        <f t="shared" si="82"/>
        <v>1</v>
      </c>
      <c r="P204" s="47"/>
      <c r="Q204" s="48"/>
      <c r="R204" s="45"/>
      <c r="S204" s="45"/>
      <c r="T204" s="9" t="s">
        <v>79</v>
      </c>
      <c r="U204" s="19" t="s">
        <v>84</v>
      </c>
      <c r="V204" s="67"/>
    </row>
    <row r="205" spans="1:22" ht="31.5" customHeight="1" x14ac:dyDescent="0.25">
      <c r="A205" s="34"/>
      <c r="B205" s="43"/>
      <c r="C205" s="44"/>
      <c r="D205" s="34"/>
      <c r="E205" s="45"/>
      <c r="F205" s="45"/>
      <c r="G205" s="46" t="e">
        <f ca="1">SUMPRODUCT(--(WEEKDAY(ROW(INDIRECT($E200:$E268&amp;":"&amp;$F200:$F253)),1)=1))</f>
        <v>#REF!</v>
      </c>
      <c r="H205" s="46" t="e">
        <f ca="1">SUMPRODUCT(--(WEEKDAY(ROW(INDIRECT($E200:$E268&amp;":"&amp;$F200:$F253)),1)=2))</f>
        <v>#REF!</v>
      </c>
      <c r="I205" s="46" t="e">
        <f ca="1">SUMPRODUCT(--(WEEKDAY(ROW(INDIRECT($E200:$E268&amp;":"&amp;$F200:$F253)),1)=3))</f>
        <v>#REF!</v>
      </c>
      <c r="J205" s="46" t="e">
        <f ca="1">SUMPRODUCT(--(WEEKDAY(ROW(INDIRECT($E200:$E268&amp;":"&amp;$F200:$F253)),1)=4))</f>
        <v>#REF!</v>
      </c>
      <c r="K205" s="46" t="e">
        <f ca="1">SUMPRODUCT(--(WEEKDAY(ROW(INDIRECT($E200:$E268&amp;":"&amp;$F200:$F253)),1)=5))</f>
        <v>#REF!</v>
      </c>
      <c r="L205" s="46" t="e">
        <f ca="1">SUMPRODUCT(--(WEEKDAY(ROW(INDIRECT($E200:$E268&amp;":"&amp;$F200:$F253)),1)=6))</f>
        <v>#REF!</v>
      </c>
      <c r="M205" s="46" t="e">
        <f ca="1">SUMPRODUCT(--(WEEKDAY(ROW(INDIRECT($E200:$E268&amp;":"&amp;$F200:$F253)),1)=7))</f>
        <v>#REF!</v>
      </c>
      <c r="N205" s="46" t="e">
        <f t="shared" ca="1" si="81"/>
        <v>#REF!</v>
      </c>
      <c r="O205" s="47">
        <f t="shared" si="82"/>
        <v>1</v>
      </c>
      <c r="P205" s="47"/>
      <c r="Q205" s="48"/>
      <c r="R205" s="45"/>
      <c r="S205" s="45"/>
      <c r="T205" s="9" t="s">
        <v>79</v>
      </c>
      <c r="U205" s="19" t="s">
        <v>84</v>
      </c>
      <c r="V205" s="67"/>
    </row>
    <row r="206" spans="1:22" ht="31.5" customHeight="1" x14ac:dyDescent="0.25">
      <c r="A206" s="34"/>
      <c r="B206" s="43"/>
      <c r="C206" s="44"/>
      <c r="D206" s="34"/>
      <c r="E206" s="45"/>
      <c r="F206" s="45"/>
      <c r="G206" s="46" t="e">
        <f ca="1">SUMPRODUCT(--(WEEKDAY(ROW(INDIRECT($E201:$E269&amp;":"&amp;$F201:$F254)),1)=1))</f>
        <v>#REF!</v>
      </c>
      <c r="H206" s="46" t="e">
        <f ca="1">SUMPRODUCT(--(WEEKDAY(ROW(INDIRECT($E201:$E269&amp;":"&amp;$F201:$F254)),1)=2))</f>
        <v>#REF!</v>
      </c>
      <c r="I206" s="46" t="e">
        <f ca="1">SUMPRODUCT(--(WEEKDAY(ROW(INDIRECT($E201:$E269&amp;":"&amp;$F201:$F254)),1)=3))</f>
        <v>#REF!</v>
      </c>
      <c r="J206" s="46" t="e">
        <f ca="1">SUMPRODUCT(--(WEEKDAY(ROW(INDIRECT($E201:$E269&amp;":"&amp;$F201:$F254)),1)=4))</f>
        <v>#REF!</v>
      </c>
      <c r="K206" s="46" t="e">
        <f ca="1">SUMPRODUCT(--(WEEKDAY(ROW(INDIRECT($E201:$E269&amp;":"&amp;$F201:$F254)),1)=5))</f>
        <v>#REF!</v>
      </c>
      <c r="L206" s="46" t="e">
        <f ca="1">SUMPRODUCT(--(WEEKDAY(ROW(INDIRECT($E201:$E269&amp;":"&amp;$F201:$F254)),1)=6))</f>
        <v>#REF!</v>
      </c>
      <c r="M206" s="46" t="e">
        <f ca="1">SUMPRODUCT(--(WEEKDAY(ROW(INDIRECT($E201:$E269&amp;":"&amp;$F201:$F254)),1)=7))</f>
        <v>#REF!</v>
      </c>
      <c r="N206" s="46" t="e">
        <f t="shared" ca="1" si="81"/>
        <v>#REF!</v>
      </c>
      <c r="O206" s="47">
        <f t="shared" si="82"/>
        <v>1</v>
      </c>
      <c r="P206" s="47"/>
      <c r="Q206" s="48"/>
      <c r="R206" s="45"/>
      <c r="S206" s="45"/>
      <c r="T206" s="9" t="s">
        <v>79</v>
      </c>
      <c r="U206" s="19" t="s">
        <v>84</v>
      </c>
      <c r="V206" s="67"/>
    </row>
    <row r="207" spans="1:22" ht="31.5" customHeight="1" x14ac:dyDescent="0.25">
      <c r="A207" s="34"/>
      <c r="B207" s="43"/>
      <c r="C207" s="44"/>
      <c r="D207" s="34"/>
      <c r="E207" s="45"/>
      <c r="F207" s="45"/>
      <c r="G207" s="46" t="e">
        <f ca="1">SUMPRODUCT(--(WEEKDAY(ROW(INDIRECT($E202:$E270&amp;":"&amp;$F202:$F255)),1)=1))</f>
        <v>#REF!</v>
      </c>
      <c r="H207" s="46" t="e">
        <f ca="1">SUMPRODUCT(--(WEEKDAY(ROW(INDIRECT($E202:$E270&amp;":"&amp;$F202:$F255)),1)=2))</f>
        <v>#REF!</v>
      </c>
      <c r="I207" s="46" t="e">
        <f ca="1">SUMPRODUCT(--(WEEKDAY(ROW(INDIRECT($E202:$E270&amp;":"&amp;$F202:$F255)),1)=3))</f>
        <v>#REF!</v>
      </c>
      <c r="J207" s="46" t="e">
        <f ca="1">SUMPRODUCT(--(WEEKDAY(ROW(INDIRECT($E202:$E270&amp;":"&amp;$F202:$F255)),1)=4))</f>
        <v>#REF!</v>
      </c>
      <c r="K207" s="46" t="e">
        <f ca="1">SUMPRODUCT(--(WEEKDAY(ROW(INDIRECT($E202:$E270&amp;":"&amp;$F202:$F255)),1)=5))</f>
        <v>#REF!</v>
      </c>
      <c r="L207" s="46" t="e">
        <f ca="1">SUMPRODUCT(--(WEEKDAY(ROW(INDIRECT($E202:$E270&amp;":"&amp;$F202:$F255)),1)=6))</f>
        <v>#REF!</v>
      </c>
      <c r="M207" s="46" t="e">
        <f ca="1">SUMPRODUCT(--(WEEKDAY(ROW(INDIRECT($E202:$E270&amp;":"&amp;$F202:$F255)),1)=7))</f>
        <v>#REF!</v>
      </c>
      <c r="N207" s="46" t="e">
        <f t="shared" ca="1" si="81"/>
        <v>#REF!</v>
      </c>
      <c r="O207" s="47">
        <f t="shared" si="82"/>
        <v>1</v>
      </c>
      <c r="P207" s="47"/>
      <c r="Q207" s="48"/>
      <c r="R207" s="45"/>
      <c r="S207" s="45"/>
      <c r="T207" s="9" t="s">
        <v>79</v>
      </c>
      <c r="U207" s="19" t="s">
        <v>84</v>
      </c>
      <c r="V207" s="67"/>
    </row>
    <row r="208" spans="1:22" ht="31.5" customHeight="1" x14ac:dyDescent="0.25">
      <c r="A208" s="34"/>
      <c r="B208" s="43"/>
      <c r="C208" s="44"/>
      <c r="D208" s="34"/>
      <c r="E208" s="45"/>
      <c r="F208" s="45"/>
      <c r="G208" s="46" t="e">
        <f ca="1">SUMPRODUCT(--(WEEKDAY(ROW(INDIRECT($E203:$E271&amp;":"&amp;$F203:$F256)),1)=1))</f>
        <v>#REF!</v>
      </c>
      <c r="H208" s="46" t="e">
        <f ca="1">SUMPRODUCT(--(WEEKDAY(ROW(INDIRECT($E203:$E271&amp;":"&amp;$F203:$F256)),1)=2))</f>
        <v>#REF!</v>
      </c>
      <c r="I208" s="46" t="e">
        <f ca="1">SUMPRODUCT(--(WEEKDAY(ROW(INDIRECT($E203:$E271&amp;":"&amp;$F203:$F256)),1)=3))</f>
        <v>#REF!</v>
      </c>
      <c r="J208" s="46" t="e">
        <f ca="1">SUMPRODUCT(--(WEEKDAY(ROW(INDIRECT($E203:$E271&amp;":"&amp;$F203:$F256)),1)=4))</f>
        <v>#REF!</v>
      </c>
      <c r="K208" s="46" t="e">
        <f ca="1">SUMPRODUCT(--(WEEKDAY(ROW(INDIRECT($E203:$E271&amp;":"&amp;$F203:$F256)),1)=5))</f>
        <v>#REF!</v>
      </c>
      <c r="L208" s="46" t="e">
        <f ca="1">SUMPRODUCT(--(WEEKDAY(ROW(INDIRECT($E203:$E271&amp;":"&amp;$F203:$F256)),1)=6))</f>
        <v>#REF!</v>
      </c>
      <c r="M208" s="46" t="e">
        <f ca="1">SUMPRODUCT(--(WEEKDAY(ROW(INDIRECT($E203:$E271&amp;":"&amp;$F203:$F256)),1)=7))</f>
        <v>#REF!</v>
      </c>
      <c r="N208" s="46" t="e">
        <f t="shared" ca="1" si="81"/>
        <v>#REF!</v>
      </c>
      <c r="O208" s="47">
        <f t="shared" si="82"/>
        <v>1</v>
      </c>
      <c r="P208" s="47"/>
      <c r="Q208" s="48"/>
      <c r="R208" s="45"/>
      <c r="S208" s="45"/>
      <c r="T208" s="9" t="s">
        <v>79</v>
      </c>
      <c r="U208" s="19" t="s">
        <v>84</v>
      </c>
      <c r="V208" s="67"/>
    </row>
    <row r="209" spans="1:28" ht="31.5" customHeight="1" x14ac:dyDescent="0.25">
      <c r="A209" s="34"/>
      <c r="B209" s="43"/>
      <c r="C209" s="44"/>
      <c r="D209" s="34"/>
      <c r="E209" s="45"/>
      <c r="F209" s="45"/>
      <c r="G209" s="46" t="e">
        <f ca="1">SUMPRODUCT(--(WEEKDAY(ROW(INDIRECT($E204:$E272&amp;":"&amp;$F204:$F267)),1)=1))</f>
        <v>#REF!</v>
      </c>
      <c r="H209" s="46" t="e">
        <f ca="1">SUMPRODUCT(--(WEEKDAY(ROW(INDIRECT($E204:$E272&amp;":"&amp;$F204:$F267)),1)=2))</f>
        <v>#REF!</v>
      </c>
      <c r="I209" s="46" t="e">
        <f ca="1">SUMPRODUCT(--(WEEKDAY(ROW(INDIRECT($E204:$E272&amp;":"&amp;$F204:$F267)),1)=3))</f>
        <v>#REF!</v>
      </c>
      <c r="J209" s="46" t="e">
        <f ca="1">SUMPRODUCT(--(WEEKDAY(ROW(INDIRECT($E204:$E272&amp;":"&amp;$F204:$F267)),1)=4))</f>
        <v>#REF!</v>
      </c>
      <c r="K209" s="46" t="e">
        <f ca="1">SUMPRODUCT(--(WEEKDAY(ROW(INDIRECT($E204:$E272&amp;":"&amp;$F204:$F267)),1)=5))</f>
        <v>#REF!</v>
      </c>
      <c r="L209" s="46" t="e">
        <f ca="1">SUMPRODUCT(--(WEEKDAY(ROW(INDIRECT($E204:$E272&amp;":"&amp;$F204:$F267)),1)=6))</f>
        <v>#REF!</v>
      </c>
      <c r="M209" s="46" t="e">
        <f ca="1">SUMPRODUCT(--(WEEKDAY(ROW(INDIRECT($E204:$E272&amp;":"&amp;$F204:$F267)),1)=7))</f>
        <v>#REF!</v>
      </c>
      <c r="N209" s="46" t="e">
        <f t="shared" ca="1" si="81"/>
        <v>#REF!</v>
      </c>
      <c r="O209" s="47">
        <f t="shared" si="82"/>
        <v>1</v>
      </c>
      <c r="P209" s="47"/>
      <c r="Q209" s="48"/>
      <c r="R209" s="45"/>
      <c r="S209" s="45"/>
      <c r="T209" s="9" t="s">
        <v>79</v>
      </c>
      <c r="U209" s="19" t="s">
        <v>84</v>
      </c>
      <c r="V209" s="67"/>
    </row>
    <row r="210" spans="1:28" ht="31.5" customHeight="1" x14ac:dyDescent="0.25">
      <c r="A210" s="34"/>
      <c r="B210" s="43"/>
      <c r="C210" s="44"/>
      <c r="D210" s="34"/>
      <c r="E210" s="45"/>
      <c r="F210" s="45"/>
      <c r="G210" s="46" t="e">
        <f ca="1">SUMPRODUCT(--(WEEKDAY(ROW(INDIRECT($E205:$E273&amp;":"&amp;$F205:$F268)),1)=1))</f>
        <v>#REF!</v>
      </c>
      <c r="H210" s="46" t="e">
        <f ca="1">SUMPRODUCT(--(WEEKDAY(ROW(INDIRECT($E205:$E273&amp;":"&amp;$F205:$F268)),1)=2))</f>
        <v>#REF!</v>
      </c>
      <c r="I210" s="46" t="e">
        <f ca="1">SUMPRODUCT(--(WEEKDAY(ROW(INDIRECT($E205:$E273&amp;":"&amp;$F205:$F268)),1)=3))</f>
        <v>#REF!</v>
      </c>
      <c r="J210" s="46" t="e">
        <f ca="1">SUMPRODUCT(--(WEEKDAY(ROW(INDIRECT($E205:$E273&amp;":"&amp;$F205:$F268)),1)=4))</f>
        <v>#REF!</v>
      </c>
      <c r="K210" s="46" t="e">
        <f ca="1">SUMPRODUCT(--(WEEKDAY(ROW(INDIRECT($E205:$E273&amp;":"&amp;$F205:$F268)),1)=5))</f>
        <v>#REF!</v>
      </c>
      <c r="L210" s="46" t="e">
        <f ca="1">SUMPRODUCT(--(WEEKDAY(ROW(INDIRECT($E205:$E273&amp;":"&amp;$F205:$F268)),1)=6))</f>
        <v>#REF!</v>
      </c>
      <c r="M210" s="46" t="e">
        <f ca="1">SUMPRODUCT(--(WEEKDAY(ROW(INDIRECT($E205:$E273&amp;":"&amp;$F205:$F268)),1)=7))</f>
        <v>#REF!</v>
      </c>
      <c r="N210" s="46" t="e">
        <f t="shared" ca="1" si="81"/>
        <v>#REF!</v>
      </c>
      <c r="O210" s="47">
        <f t="shared" si="82"/>
        <v>1</v>
      </c>
      <c r="P210" s="47"/>
      <c r="Q210" s="48"/>
      <c r="R210" s="45"/>
      <c r="S210" s="45"/>
      <c r="T210" s="9" t="s">
        <v>79</v>
      </c>
      <c r="U210" s="19" t="s">
        <v>84</v>
      </c>
      <c r="V210" s="67"/>
    </row>
    <row r="211" spans="1:28" ht="31.5" customHeight="1" x14ac:dyDescent="0.25">
      <c r="A211" s="34"/>
      <c r="B211" s="43"/>
      <c r="C211" s="44"/>
      <c r="D211" s="34"/>
      <c r="E211" s="45"/>
      <c r="F211" s="45"/>
      <c r="G211" s="46" t="e">
        <f ca="1">SUMPRODUCT(--(WEEKDAY(ROW(INDIRECT($E193:$E251&amp;":"&amp;$F193:$F244)),1)=1))</f>
        <v>#REF!</v>
      </c>
      <c r="H211" s="46" t="e">
        <f ca="1">SUMPRODUCT(--(WEEKDAY(ROW(INDIRECT($E193:$E251&amp;":"&amp;$F193:$F244)),1)=2))</f>
        <v>#REF!</v>
      </c>
      <c r="I211" s="46" t="e">
        <f ca="1">SUMPRODUCT(--(WEEKDAY(ROW(INDIRECT($E193:$E251&amp;":"&amp;$F193:$F244)),1)=3))</f>
        <v>#REF!</v>
      </c>
      <c r="J211" s="46" t="e">
        <f ca="1">SUMPRODUCT(--(WEEKDAY(ROW(INDIRECT($E193:$E251&amp;":"&amp;$F193:$F244)),1)=4))</f>
        <v>#REF!</v>
      </c>
      <c r="K211" s="46" t="e">
        <f ca="1">SUMPRODUCT(--(WEEKDAY(ROW(INDIRECT($E193:$E251&amp;":"&amp;$F193:$F244)),1)=5))</f>
        <v>#REF!</v>
      </c>
      <c r="L211" s="46" t="e">
        <f ca="1">SUMPRODUCT(--(WEEKDAY(ROW(INDIRECT($E193:$E251&amp;":"&amp;$F193:$F244)),1)=6))</f>
        <v>#REF!</v>
      </c>
      <c r="M211" s="46" t="e">
        <f ca="1">SUMPRODUCT(--(WEEKDAY(ROW(INDIRECT($E193:$E251&amp;":"&amp;$F193:$F244)),1)=7))</f>
        <v>#REF!</v>
      </c>
      <c r="N211" s="46" t="e">
        <f t="shared" ca="1" si="79"/>
        <v>#REF!</v>
      </c>
      <c r="O211" s="47">
        <f t="shared" si="80"/>
        <v>1</v>
      </c>
      <c r="P211" s="47"/>
      <c r="Q211" s="48"/>
      <c r="R211" s="45"/>
      <c r="S211" s="45"/>
      <c r="T211" s="9" t="s">
        <v>79</v>
      </c>
      <c r="U211" s="19" t="s">
        <v>70</v>
      </c>
      <c r="V211" s="67"/>
    </row>
    <row r="212" spans="1:28" ht="31.5" customHeight="1" x14ac:dyDescent="0.25">
      <c r="A212" s="34"/>
      <c r="B212" s="43"/>
      <c r="C212" s="44"/>
      <c r="D212" s="34"/>
      <c r="E212" s="45"/>
      <c r="F212" s="45"/>
      <c r="G212" s="46"/>
      <c r="H212" s="46"/>
      <c r="I212" s="46"/>
      <c r="J212" s="46"/>
      <c r="K212" s="46"/>
      <c r="L212" s="46"/>
      <c r="M212" s="46"/>
      <c r="N212" s="46"/>
      <c r="O212" s="47"/>
      <c r="P212" s="47"/>
      <c r="Q212" s="48"/>
      <c r="R212" s="45"/>
      <c r="S212" s="45"/>
      <c r="T212" s="9"/>
      <c r="U212" s="19"/>
      <c r="V212" s="67"/>
    </row>
    <row r="213" spans="1:28" ht="31.5" customHeight="1" x14ac:dyDescent="0.25">
      <c r="A213" s="122" t="s">
        <v>62</v>
      </c>
      <c r="B213" s="123"/>
      <c r="C213" s="123"/>
      <c r="D213" s="123"/>
      <c r="E213" s="123"/>
      <c r="F213" s="124"/>
      <c r="G213" s="51"/>
      <c r="H213" s="51"/>
      <c r="I213" s="51"/>
      <c r="J213" s="51"/>
      <c r="K213" s="51"/>
      <c r="L213" s="51"/>
      <c r="M213" s="51"/>
      <c r="N213" s="51"/>
      <c r="O213" s="35">
        <v>181</v>
      </c>
      <c r="P213" s="35"/>
      <c r="Q213" s="48"/>
      <c r="R213" s="34"/>
      <c r="S213" s="49"/>
    </row>
    <row r="214" spans="1:28" ht="31.5" customHeight="1" x14ac:dyDescent="0.25">
      <c r="A214" s="35" t="s">
        <v>85</v>
      </c>
      <c r="B214" s="36"/>
      <c r="C214" s="132" t="s">
        <v>86</v>
      </c>
      <c r="D214" s="133"/>
      <c r="E214" s="133"/>
      <c r="F214" s="133"/>
      <c r="G214" s="133"/>
      <c r="H214" s="133"/>
      <c r="I214" s="133"/>
      <c r="J214" s="133"/>
      <c r="K214" s="133"/>
      <c r="L214" s="133"/>
      <c r="M214" s="133"/>
      <c r="N214" s="133"/>
      <c r="O214" s="133"/>
      <c r="P214" s="133"/>
      <c r="Q214" s="134"/>
      <c r="R214" s="35"/>
      <c r="S214" s="41"/>
      <c r="T214" s="2"/>
      <c r="U214" s="7"/>
    </row>
    <row r="215" spans="1:28" ht="31.5" customHeight="1" x14ac:dyDescent="0.25">
      <c r="A215" s="34" t="s">
        <v>68</v>
      </c>
      <c r="B215" s="72"/>
      <c r="C215" s="138" t="s">
        <v>87</v>
      </c>
      <c r="D215" s="139"/>
      <c r="E215" s="139"/>
      <c r="F215" s="139"/>
      <c r="G215" s="42" t="s">
        <v>31</v>
      </c>
      <c r="H215" s="42" t="s">
        <v>32</v>
      </c>
      <c r="I215" s="42" t="s">
        <v>33</v>
      </c>
      <c r="J215" s="42" t="s">
        <v>34</v>
      </c>
      <c r="K215" s="42" t="s">
        <v>35</v>
      </c>
      <c r="L215" s="42" t="s">
        <v>36</v>
      </c>
      <c r="M215" s="42" t="s">
        <v>37</v>
      </c>
      <c r="N215" s="42" t="s">
        <v>38</v>
      </c>
      <c r="O215" s="73"/>
      <c r="P215" s="73"/>
      <c r="Q215" s="40"/>
      <c r="R215" s="35"/>
      <c r="S215" s="45"/>
      <c r="T215" s="74"/>
      <c r="U215" s="74"/>
      <c r="V215" s="67"/>
      <c r="W215" s="8"/>
      <c r="Y215" s="75"/>
      <c r="AB215" s="75"/>
    </row>
    <row r="216" spans="1:28" ht="39.75" customHeight="1" x14ac:dyDescent="0.25">
      <c r="A216" s="34">
        <v>1</v>
      </c>
      <c r="B216" s="43" t="s">
        <v>261</v>
      </c>
      <c r="C216" s="44" t="s">
        <v>262</v>
      </c>
      <c r="D216" s="34" t="s">
        <v>263</v>
      </c>
      <c r="E216" s="45">
        <v>46160</v>
      </c>
      <c r="F216" s="45">
        <v>46164</v>
      </c>
      <c r="G216" s="46">
        <f ca="1">SUMPRODUCT(--(WEEKDAY(ROW(INDIRECT($E211:$E256&amp;":"&amp;$F211:$F251)),1)=1))</f>
        <v>0</v>
      </c>
      <c r="H216" s="46">
        <f ca="1">SUMPRODUCT(--(WEEKDAY(ROW(INDIRECT($E211:$E256&amp;":"&amp;$F211:$F251)),1)=2))</f>
        <v>1</v>
      </c>
      <c r="I216" s="46">
        <f ca="1">SUMPRODUCT(--(WEEKDAY(ROW(INDIRECT($E211:$E256&amp;":"&amp;$F211:$F251)),1)=3))</f>
        <v>1</v>
      </c>
      <c r="J216" s="46">
        <f ca="1">SUMPRODUCT(--(WEEKDAY(ROW(INDIRECT($E211:$E256&amp;":"&amp;$F211:$F251)),1)=4))</f>
        <v>1</v>
      </c>
      <c r="K216" s="46">
        <f ca="1">SUMPRODUCT(--(WEEKDAY(ROW(INDIRECT($E211:$E256&amp;":"&amp;$F211:$F251)),1)=5))</f>
        <v>1</v>
      </c>
      <c r="L216" s="46">
        <f ca="1">SUMPRODUCT(--(WEEKDAY(ROW(INDIRECT($E211:$E256&amp;":"&amp;$F211:$F251)),1)=6))</f>
        <v>1</v>
      </c>
      <c r="M216" s="46">
        <f ca="1">SUMPRODUCT(--(WEEKDAY(ROW(INDIRECT($E211:$E256&amp;":"&amp;$F211:$F251)),1)=7))</f>
        <v>0</v>
      </c>
      <c r="N216" s="46">
        <f t="shared" ref="N216:N225" ca="1" si="83">SUM(H216:M216)</f>
        <v>5</v>
      </c>
      <c r="O216" s="47">
        <f t="shared" ref="O216:O225" si="84">F216-E216+1</f>
        <v>5</v>
      </c>
      <c r="P216" s="47"/>
      <c r="Q216" s="48"/>
      <c r="R216" s="45"/>
      <c r="S216" s="45"/>
      <c r="T216" s="9" t="s">
        <v>88</v>
      </c>
      <c r="U216" s="19" t="s">
        <v>70</v>
      </c>
      <c r="V216" s="67"/>
      <c r="W216" s="8"/>
    </row>
    <row r="217" spans="1:28" ht="39.75" customHeight="1" x14ac:dyDescent="0.25">
      <c r="A217" s="34"/>
      <c r="B217" s="43" t="s">
        <v>264</v>
      </c>
      <c r="C217" s="44" t="s">
        <v>265</v>
      </c>
      <c r="D217" s="34" t="s">
        <v>266</v>
      </c>
      <c r="E217" s="45">
        <v>46153</v>
      </c>
      <c r="F217" s="45">
        <v>46160</v>
      </c>
      <c r="G217" s="46">
        <f ca="1">SUMPRODUCT(--(WEEKDAY(ROW(INDIRECT($E204:$E249&amp;":"&amp;$F204:$F228)),1)=1))</f>
        <v>1</v>
      </c>
      <c r="H217" s="46">
        <f ca="1">SUMPRODUCT(--(WEEKDAY(ROW(INDIRECT($E204:$E249&amp;":"&amp;$F204:$F228)),1)=2))</f>
        <v>2</v>
      </c>
      <c r="I217" s="46">
        <f ca="1">SUMPRODUCT(--(WEEKDAY(ROW(INDIRECT($E204:$E249&amp;":"&amp;$F204:$F228)),1)=3))</f>
        <v>1</v>
      </c>
      <c r="J217" s="46">
        <f ca="1">SUMPRODUCT(--(WEEKDAY(ROW(INDIRECT($E204:$E249&amp;":"&amp;$F204:$F228)),1)=4))</f>
        <v>1</v>
      </c>
      <c r="K217" s="46">
        <f ca="1">SUMPRODUCT(--(WEEKDAY(ROW(INDIRECT($E204:$E249&amp;":"&amp;$F204:$F228)),1)=5))</f>
        <v>1</v>
      </c>
      <c r="L217" s="46">
        <f ca="1">SUMPRODUCT(--(WEEKDAY(ROW(INDIRECT($E204:$E249&amp;":"&amp;$F204:$F228)),1)=6))</f>
        <v>1</v>
      </c>
      <c r="M217" s="46">
        <f ca="1">SUMPRODUCT(--(WEEKDAY(ROW(INDIRECT($E204:$E249&amp;":"&amp;$F204:$F228)),1)=7))</f>
        <v>1</v>
      </c>
      <c r="N217" s="46">
        <f t="shared" ref="N217:N224" ca="1" si="85">SUM(H217:M217)</f>
        <v>7</v>
      </c>
      <c r="O217" s="47">
        <f t="shared" ref="O217:O224" si="86">F217-E217+1</f>
        <v>8</v>
      </c>
      <c r="P217" s="47"/>
      <c r="Q217" s="48"/>
      <c r="R217" s="45"/>
      <c r="S217" s="76"/>
      <c r="T217" s="9" t="s">
        <v>88</v>
      </c>
      <c r="U217" s="19" t="s">
        <v>70</v>
      </c>
      <c r="V217" s="67"/>
      <c r="W217" s="8"/>
    </row>
    <row r="218" spans="1:28" ht="39.75" customHeight="1" x14ac:dyDescent="0.25">
      <c r="A218" s="34"/>
      <c r="B218" s="43" t="s">
        <v>267</v>
      </c>
      <c r="C218" s="44" t="s">
        <v>268</v>
      </c>
      <c r="D218" s="34" t="s">
        <v>269</v>
      </c>
      <c r="E218" s="45">
        <v>46107</v>
      </c>
      <c r="F218" s="45">
        <v>46114</v>
      </c>
      <c r="G218" s="46">
        <f ca="1">SUMPRODUCT(--(WEEKDAY(ROW(INDIRECT($E205:$E250&amp;":"&amp;$F205:$F243)),1)=1))</f>
        <v>1</v>
      </c>
      <c r="H218" s="46">
        <f ca="1">SUMPRODUCT(--(WEEKDAY(ROW(INDIRECT($E205:$E250&amp;":"&amp;$F205:$F243)),1)=2))</f>
        <v>1</v>
      </c>
      <c r="I218" s="46">
        <f ca="1">SUMPRODUCT(--(WEEKDAY(ROW(INDIRECT($E205:$E250&amp;":"&amp;$F205:$F243)),1)=3))</f>
        <v>1</v>
      </c>
      <c r="J218" s="46">
        <f ca="1">SUMPRODUCT(--(WEEKDAY(ROW(INDIRECT($E205:$E250&amp;":"&amp;$F205:$F243)),1)=4))</f>
        <v>1</v>
      </c>
      <c r="K218" s="46">
        <f ca="1">SUMPRODUCT(--(WEEKDAY(ROW(INDIRECT($E205:$E250&amp;":"&amp;$F205:$F243)),1)=5))</f>
        <v>2</v>
      </c>
      <c r="L218" s="46">
        <f ca="1">SUMPRODUCT(--(WEEKDAY(ROW(INDIRECT($E205:$E250&amp;":"&amp;$F205:$F243)),1)=6))</f>
        <v>1</v>
      </c>
      <c r="M218" s="46">
        <f ca="1">SUMPRODUCT(--(WEEKDAY(ROW(INDIRECT($E205:$E250&amp;":"&amp;$F205:$F243)),1)=7))</f>
        <v>1</v>
      </c>
      <c r="N218" s="46">
        <f t="shared" ca="1" si="85"/>
        <v>7</v>
      </c>
      <c r="O218" s="47">
        <f t="shared" si="86"/>
        <v>8</v>
      </c>
      <c r="P218" s="47"/>
      <c r="Q218" s="48"/>
      <c r="R218" s="45"/>
      <c r="S218" s="76"/>
      <c r="T218" s="9" t="s">
        <v>88</v>
      </c>
      <c r="U218" s="19" t="s">
        <v>70</v>
      </c>
      <c r="V218" s="67"/>
      <c r="W218" s="8"/>
    </row>
    <row r="219" spans="1:28" ht="39.75" customHeight="1" x14ac:dyDescent="0.25">
      <c r="A219" s="34"/>
      <c r="B219" s="43"/>
      <c r="C219" s="44"/>
      <c r="D219" s="34"/>
      <c r="E219" s="45"/>
      <c r="F219" s="45"/>
      <c r="G219" s="46" t="e">
        <f ca="1">SUMPRODUCT(--(WEEKDAY(ROW(INDIRECT($E206:$E251&amp;":"&amp;$F206:$F244)),1)=1))</f>
        <v>#REF!</v>
      </c>
      <c r="H219" s="46" t="e">
        <f ca="1">SUMPRODUCT(--(WEEKDAY(ROW(INDIRECT($E206:$E251&amp;":"&amp;$F206:$F244)),1)=2))</f>
        <v>#REF!</v>
      </c>
      <c r="I219" s="46" t="e">
        <f ca="1">SUMPRODUCT(--(WEEKDAY(ROW(INDIRECT($E206:$E251&amp;":"&amp;$F206:$F244)),1)=3))</f>
        <v>#REF!</v>
      </c>
      <c r="J219" s="46" t="e">
        <f ca="1">SUMPRODUCT(--(WEEKDAY(ROW(INDIRECT($E206:$E251&amp;":"&amp;$F206:$F244)),1)=4))</f>
        <v>#REF!</v>
      </c>
      <c r="K219" s="46" t="e">
        <f ca="1">SUMPRODUCT(--(WEEKDAY(ROW(INDIRECT($E206:$E251&amp;":"&amp;$F206:$F244)),1)=5))</f>
        <v>#REF!</v>
      </c>
      <c r="L219" s="46" t="e">
        <f ca="1">SUMPRODUCT(--(WEEKDAY(ROW(INDIRECT($E206:$E251&amp;":"&amp;$F206:$F244)),1)=6))</f>
        <v>#REF!</v>
      </c>
      <c r="M219" s="46" t="e">
        <f ca="1">SUMPRODUCT(--(WEEKDAY(ROW(INDIRECT($E206:$E251&amp;":"&amp;$F206:$F244)),1)=7))</f>
        <v>#REF!</v>
      </c>
      <c r="N219" s="46" t="e">
        <f t="shared" ca="1" si="85"/>
        <v>#REF!</v>
      </c>
      <c r="O219" s="47">
        <f t="shared" si="86"/>
        <v>1</v>
      </c>
      <c r="P219" s="47"/>
      <c r="Q219" s="48"/>
      <c r="R219" s="45"/>
      <c r="S219" s="76"/>
      <c r="T219" s="9" t="s">
        <v>88</v>
      </c>
      <c r="U219" s="19" t="s">
        <v>70</v>
      </c>
      <c r="V219" s="67"/>
      <c r="W219" s="8"/>
    </row>
    <row r="220" spans="1:28" ht="39.75" customHeight="1" x14ac:dyDescent="0.25">
      <c r="A220" s="34"/>
      <c r="B220" s="43"/>
      <c r="C220" s="44"/>
      <c r="D220" s="34"/>
      <c r="E220" s="45"/>
      <c r="F220" s="45"/>
      <c r="G220" s="46" t="e">
        <f ca="1">SUMPRODUCT(--(WEEKDAY(ROW(INDIRECT($E207:$E252&amp;":"&amp;$F207:$F245)),1)=1))</f>
        <v>#REF!</v>
      </c>
      <c r="H220" s="46" t="e">
        <f ca="1">SUMPRODUCT(--(WEEKDAY(ROW(INDIRECT($E207:$E252&amp;":"&amp;$F207:$F245)),1)=2))</f>
        <v>#REF!</v>
      </c>
      <c r="I220" s="46" t="e">
        <f ca="1">SUMPRODUCT(--(WEEKDAY(ROW(INDIRECT($E207:$E252&amp;":"&amp;$F207:$F245)),1)=3))</f>
        <v>#REF!</v>
      </c>
      <c r="J220" s="46" t="e">
        <f ca="1">SUMPRODUCT(--(WEEKDAY(ROW(INDIRECT($E207:$E252&amp;":"&amp;$F207:$F245)),1)=4))</f>
        <v>#REF!</v>
      </c>
      <c r="K220" s="46" t="e">
        <f ca="1">SUMPRODUCT(--(WEEKDAY(ROW(INDIRECT($E207:$E252&amp;":"&amp;$F207:$F245)),1)=5))</f>
        <v>#REF!</v>
      </c>
      <c r="L220" s="46" t="e">
        <f ca="1">SUMPRODUCT(--(WEEKDAY(ROW(INDIRECT($E207:$E252&amp;":"&amp;$F207:$F245)),1)=6))</f>
        <v>#REF!</v>
      </c>
      <c r="M220" s="46" t="e">
        <f ca="1">SUMPRODUCT(--(WEEKDAY(ROW(INDIRECT($E207:$E252&amp;":"&amp;$F207:$F245)),1)=7))</f>
        <v>#REF!</v>
      </c>
      <c r="N220" s="46" t="e">
        <f t="shared" ca="1" si="85"/>
        <v>#REF!</v>
      </c>
      <c r="O220" s="47">
        <f t="shared" si="86"/>
        <v>1</v>
      </c>
      <c r="P220" s="47"/>
      <c r="Q220" s="48"/>
      <c r="R220" s="45"/>
      <c r="S220" s="76"/>
      <c r="T220" s="9" t="s">
        <v>88</v>
      </c>
      <c r="U220" s="19" t="s">
        <v>70</v>
      </c>
      <c r="V220" s="67"/>
      <c r="W220" s="8"/>
    </row>
    <row r="221" spans="1:28" ht="39.75" customHeight="1" x14ac:dyDescent="0.25">
      <c r="A221" s="34"/>
      <c r="B221" s="43"/>
      <c r="C221" s="44"/>
      <c r="D221" s="34"/>
      <c r="E221" s="45"/>
      <c r="F221" s="45"/>
      <c r="G221" s="46" t="e">
        <f ca="1">SUMPRODUCT(--(WEEKDAY(ROW(INDIRECT($E208:$E253&amp;":"&amp;$F208:$F248)),1)=1))</f>
        <v>#REF!</v>
      </c>
      <c r="H221" s="46" t="e">
        <f ca="1">SUMPRODUCT(--(WEEKDAY(ROW(INDIRECT($E208:$E253&amp;":"&amp;$F208:$F248)),1)=2))</f>
        <v>#REF!</v>
      </c>
      <c r="I221" s="46" t="e">
        <f ca="1">SUMPRODUCT(--(WEEKDAY(ROW(INDIRECT($E208:$E253&amp;":"&amp;$F208:$F248)),1)=3))</f>
        <v>#REF!</v>
      </c>
      <c r="J221" s="46" t="e">
        <f ca="1">SUMPRODUCT(--(WEEKDAY(ROW(INDIRECT($E208:$E253&amp;":"&amp;$F208:$F248)),1)=4))</f>
        <v>#REF!</v>
      </c>
      <c r="K221" s="46" t="e">
        <f ca="1">SUMPRODUCT(--(WEEKDAY(ROW(INDIRECT($E208:$E253&amp;":"&amp;$F208:$F248)),1)=5))</f>
        <v>#REF!</v>
      </c>
      <c r="L221" s="46" t="e">
        <f ca="1">SUMPRODUCT(--(WEEKDAY(ROW(INDIRECT($E208:$E253&amp;":"&amp;$F208:$F248)),1)=6))</f>
        <v>#REF!</v>
      </c>
      <c r="M221" s="46" t="e">
        <f ca="1">SUMPRODUCT(--(WEEKDAY(ROW(INDIRECT($E208:$E253&amp;":"&amp;$F208:$F248)),1)=7))</f>
        <v>#REF!</v>
      </c>
      <c r="N221" s="46" t="e">
        <f t="shared" ca="1" si="85"/>
        <v>#REF!</v>
      </c>
      <c r="O221" s="47">
        <f t="shared" si="86"/>
        <v>1</v>
      </c>
      <c r="P221" s="47"/>
      <c r="Q221" s="48"/>
      <c r="R221" s="45"/>
      <c r="S221" s="76"/>
      <c r="T221" s="9" t="s">
        <v>88</v>
      </c>
      <c r="U221" s="19" t="s">
        <v>70</v>
      </c>
      <c r="V221" s="67"/>
      <c r="W221" s="8"/>
    </row>
    <row r="222" spans="1:28" ht="39.75" customHeight="1" x14ac:dyDescent="0.25">
      <c r="A222" s="34"/>
      <c r="B222" s="43"/>
      <c r="C222" s="44"/>
      <c r="D222" s="34"/>
      <c r="E222" s="45"/>
      <c r="F222" s="45"/>
      <c r="G222" s="46" t="e">
        <f ca="1">SUMPRODUCT(--(WEEKDAY(ROW(INDIRECT($E209:$E254&amp;":"&amp;$F209:$F249)),1)=1))</f>
        <v>#REF!</v>
      </c>
      <c r="H222" s="46" t="e">
        <f ca="1">SUMPRODUCT(--(WEEKDAY(ROW(INDIRECT($E209:$E254&amp;":"&amp;$F209:$F249)),1)=2))</f>
        <v>#REF!</v>
      </c>
      <c r="I222" s="46" t="e">
        <f ca="1">SUMPRODUCT(--(WEEKDAY(ROW(INDIRECT($E209:$E254&amp;":"&amp;$F209:$F249)),1)=3))</f>
        <v>#REF!</v>
      </c>
      <c r="J222" s="46" t="e">
        <f ca="1">SUMPRODUCT(--(WEEKDAY(ROW(INDIRECT($E209:$E254&amp;":"&amp;$F209:$F249)),1)=4))</f>
        <v>#REF!</v>
      </c>
      <c r="K222" s="46" t="e">
        <f ca="1">SUMPRODUCT(--(WEEKDAY(ROW(INDIRECT($E209:$E254&amp;":"&amp;$F209:$F249)),1)=5))</f>
        <v>#REF!</v>
      </c>
      <c r="L222" s="46" t="e">
        <f ca="1">SUMPRODUCT(--(WEEKDAY(ROW(INDIRECT($E209:$E254&amp;":"&amp;$F209:$F249)),1)=6))</f>
        <v>#REF!</v>
      </c>
      <c r="M222" s="46" t="e">
        <f ca="1">SUMPRODUCT(--(WEEKDAY(ROW(INDIRECT($E209:$E254&amp;":"&amp;$F209:$F249)),1)=7))</f>
        <v>#REF!</v>
      </c>
      <c r="N222" s="46" t="e">
        <f t="shared" ca="1" si="85"/>
        <v>#REF!</v>
      </c>
      <c r="O222" s="47">
        <f t="shared" si="86"/>
        <v>1</v>
      </c>
      <c r="P222" s="47"/>
      <c r="Q222" s="48"/>
      <c r="R222" s="45"/>
      <c r="S222" s="76"/>
      <c r="T222" s="9" t="s">
        <v>88</v>
      </c>
      <c r="U222" s="19" t="s">
        <v>70</v>
      </c>
      <c r="V222" s="67"/>
      <c r="W222" s="8"/>
    </row>
    <row r="223" spans="1:28" ht="39.75" customHeight="1" x14ac:dyDescent="0.25">
      <c r="A223" s="34"/>
      <c r="B223" s="43"/>
      <c r="C223" s="44"/>
      <c r="D223" s="34"/>
      <c r="E223" s="45"/>
      <c r="F223" s="45"/>
      <c r="G223" s="46" t="e">
        <f ca="1">SUMPRODUCT(--(WEEKDAY(ROW(INDIRECT($E210:$E255&amp;":"&amp;$F210:$F250)),1)=1))</f>
        <v>#REF!</v>
      </c>
      <c r="H223" s="46" t="e">
        <f ca="1">SUMPRODUCT(--(WEEKDAY(ROW(INDIRECT($E210:$E255&amp;":"&amp;$F210:$F250)),1)=2))</f>
        <v>#REF!</v>
      </c>
      <c r="I223" s="46" t="e">
        <f ca="1">SUMPRODUCT(--(WEEKDAY(ROW(INDIRECT($E210:$E255&amp;":"&amp;$F210:$F250)),1)=3))</f>
        <v>#REF!</v>
      </c>
      <c r="J223" s="46" t="e">
        <f ca="1">SUMPRODUCT(--(WEEKDAY(ROW(INDIRECT($E210:$E255&amp;":"&amp;$F210:$F250)),1)=4))</f>
        <v>#REF!</v>
      </c>
      <c r="K223" s="46" t="e">
        <f ca="1">SUMPRODUCT(--(WEEKDAY(ROW(INDIRECT($E210:$E255&amp;":"&amp;$F210:$F250)),1)=5))</f>
        <v>#REF!</v>
      </c>
      <c r="L223" s="46" t="e">
        <f ca="1">SUMPRODUCT(--(WEEKDAY(ROW(INDIRECT($E210:$E255&amp;":"&amp;$F210:$F250)),1)=6))</f>
        <v>#REF!</v>
      </c>
      <c r="M223" s="46" t="e">
        <f ca="1">SUMPRODUCT(--(WEEKDAY(ROW(INDIRECT($E210:$E255&amp;":"&amp;$F210:$F250)),1)=7))</f>
        <v>#REF!</v>
      </c>
      <c r="N223" s="46" t="e">
        <f t="shared" ca="1" si="85"/>
        <v>#REF!</v>
      </c>
      <c r="O223" s="47">
        <f t="shared" si="86"/>
        <v>1</v>
      </c>
      <c r="P223" s="47"/>
      <c r="Q223" s="48"/>
      <c r="R223" s="45"/>
      <c r="S223" s="76"/>
      <c r="T223" s="9" t="s">
        <v>88</v>
      </c>
      <c r="U223" s="19" t="s">
        <v>70</v>
      </c>
      <c r="V223" s="67"/>
      <c r="W223" s="8"/>
    </row>
    <row r="224" spans="1:28" ht="39.75" customHeight="1" x14ac:dyDescent="0.25">
      <c r="A224" s="34"/>
      <c r="B224" s="43"/>
      <c r="C224" s="44"/>
      <c r="D224" s="34"/>
      <c r="E224" s="45"/>
      <c r="F224" s="45"/>
      <c r="G224" s="46" t="e">
        <f ca="1">SUMPRODUCT(--(WEEKDAY(ROW(INDIRECT($E211:$E256&amp;":"&amp;$F211:$F251)),1)=1))</f>
        <v>#REF!</v>
      </c>
      <c r="H224" s="46" t="e">
        <f ca="1">SUMPRODUCT(--(WEEKDAY(ROW(INDIRECT($E211:$E256&amp;":"&amp;$F211:$F251)),1)=2))</f>
        <v>#REF!</v>
      </c>
      <c r="I224" s="46" t="e">
        <f ca="1">SUMPRODUCT(--(WEEKDAY(ROW(INDIRECT($E211:$E256&amp;":"&amp;$F211:$F251)),1)=3))</f>
        <v>#REF!</v>
      </c>
      <c r="J224" s="46" t="e">
        <f ca="1">SUMPRODUCT(--(WEEKDAY(ROW(INDIRECT($E211:$E256&amp;":"&amp;$F211:$F251)),1)=4))</f>
        <v>#REF!</v>
      </c>
      <c r="K224" s="46" t="e">
        <f ca="1">SUMPRODUCT(--(WEEKDAY(ROW(INDIRECT($E211:$E256&amp;":"&amp;$F211:$F251)),1)=5))</f>
        <v>#REF!</v>
      </c>
      <c r="L224" s="46" t="e">
        <f ca="1">SUMPRODUCT(--(WEEKDAY(ROW(INDIRECT($E211:$E256&amp;":"&amp;$F211:$F251)),1)=6))</f>
        <v>#REF!</v>
      </c>
      <c r="M224" s="46" t="e">
        <f ca="1">SUMPRODUCT(--(WEEKDAY(ROW(INDIRECT($E211:$E256&amp;":"&amp;$F211:$F251)),1)=7))</f>
        <v>#REF!</v>
      </c>
      <c r="N224" s="46" t="e">
        <f t="shared" ca="1" si="85"/>
        <v>#REF!</v>
      </c>
      <c r="O224" s="47">
        <f t="shared" si="86"/>
        <v>1</v>
      </c>
      <c r="P224" s="47"/>
      <c r="Q224" s="48"/>
      <c r="R224" s="45"/>
      <c r="S224" s="76"/>
      <c r="T224" s="9" t="s">
        <v>88</v>
      </c>
      <c r="U224" s="19" t="s">
        <v>70</v>
      </c>
      <c r="V224" s="67"/>
      <c r="W224" s="8"/>
    </row>
    <row r="225" spans="1:28" ht="39.75" customHeight="1" x14ac:dyDescent="0.25">
      <c r="A225" s="34"/>
      <c r="B225" s="43"/>
      <c r="C225" s="44"/>
      <c r="D225" s="34"/>
      <c r="E225" s="45"/>
      <c r="F225" s="45"/>
      <c r="G225" s="46" t="e">
        <f ca="1">SUMPRODUCT(--(WEEKDAY(ROW(INDIRECT($E212:$E267&amp;":"&amp;$F212:$F252)),1)=1))</f>
        <v>#REF!</v>
      </c>
      <c r="H225" s="46" t="e">
        <f ca="1">SUMPRODUCT(--(WEEKDAY(ROW(INDIRECT($E212:$E267&amp;":"&amp;$F212:$F252)),1)=2))</f>
        <v>#REF!</v>
      </c>
      <c r="I225" s="46" t="e">
        <f ca="1">SUMPRODUCT(--(WEEKDAY(ROW(INDIRECT($E212:$E267&amp;":"&amp;$F212:$F252)),1)=3))</f>
        <v>#REF!</v>
      </c>
      <c r="J225" s="46" t="e">
        <f ca="1">SUMPRODUCT(--(WEEKDAY(ROW(INDIRECT($E212:$E267&amp;":"&amp;$F212:$F252)),1)=4))</f>
        <v>#REF!</v>
      </c>
      <c r="K225" s="46" t="e">
        <f ca="1">SUMPRODUCT(--(WEEKDAY(ROW(INDIRECT($E212:$E267&amp;":"&amp;$F212:$F252)),1)=5))</f>
        <v>#REF!</v>
      </c>
      <c r="L225" s="46" t="e">
        <f ca="1">SUMPRODUCT(--(WEEKDAY(ROW(INDIRECT($E212:$E267&amp;":"&amp;$F212:$F252)),1)=6))</f>
        <v>#REF!</v>
      </c>
      <c r="M225" s="46" t="e">
        <f ca="1">SUMPRODUCT(--(WEEKDAY(ROW(INDIRECT($E212:$E267&amp;":"&amp;$F212:$F252)),1)=7))</f>
        <v>#REF!</v>
      </c>
      <c r="N225" s="46" t="e">
        <f t="shared" ca="1" si="83"/>
        <v>#REF!</v>
      </c>
      <c r="O225" s="47">
        <f t="shared" si="84"/>
        <v>1</v>
      </c>
      <c r="P225" s="47"/>
      <c r="Q225" s="48"/>
      <c r="R225" s="45"/>
      <c r="S225" s="76"/>
      <c r="T225" s="9" t="s">
        <v>88</v>
      </c>
      <c r="U225" s="19" t="s">
        <v>70</v>
      </c>
      <c r="V225" s="67"/>
      <c r="W225" s="8"/>
    </row>
    <row r="226" spans="1:28" ht="31.5" customHeight="1" x14ac:dyDescent="0.25">
      <c r="A226" s="122" t="s">
        <v>62</v>
      </c>
      <c r="B226" s="123"/>
      <c r="C226" s="123"/>
      <c r="D226" s="123"/>
      <c r="E226" s="123"/>
      <c r="F226" s="124"/>
      <c r="G226" s="51"/>
      <c r="H226" s="51"/>
      <c r="I226" s="51"/>
      <c r="J226" s="51"/>
      <c r="K226" s="51"/>
      <c r="L226" s="51"/>
      <c r="M226" s="51"/>
      <c r="N226" s="51"/>
      <c r="O226" s="35">
        <v>6</v>
      </c>
      <c r="P226" s="35"/>
      <c r="Q226" s="48"/>
      <c r="R226" s="45"/>
      <c r="S226" s="49"/>
      <c r="T226" s="22"/>
    </row>
    <row r="227" spans="1:28" ht="31.5" customHeight="1" x14ac:dyDescent="0.25">
      <c r="A227" s="34" t="s">
        <v>68</v>
      </c>
      <c r="B227" s="72"/>
      <c r="C227" s="138" t="s">
        <v>89</v>
      </c>
      <c r="D227" s="139"/>
      <c r="E227" s="139"/>
      <c r="F227" s="139"/>
      <c r="G227" s="42" t="s">
        <v>31</v>
      </c>
      <c r="H227" s="42" t="s">
        <v>32</v>
      </c>
      <c r="I227" s="42" t="s">
        <v>33</v>
      </c>
      <c r="J227" s="42" t="s">
        <v>34</v>
      </c>
      <c r="K227" s="42" t="s">
        <v>35</v>
      </c>
      <c r="L227" s="42" t="s">
        <v>36</v>
      </c>
      <c r="M227" s="42" t="s">
        <v>37</v>
      </c>
      <c r="N227" s="42" t="s">
        <v>38</v>
      </c>
      <c r="O227" s="73"/>
      <c r="P227" s="73"/>
      <c r="Q227" s="40"/>
      <c r="R227" s="35"/>
      <c r="S227" s="45"/>
      <c r="T227" s="74"/>
      <c r="U227" s="74"/>
      <c r="V227" s="67"/>
      <c r="W227" s="8"/>
      <c r="Y227" s="75"/>
      <c r="AB227" s="75"/>
    </row>
    <row r="228" spans="1:28" ht="39.75" customHeight="1" x14ac:dyDescent="0.25">
      <c r="A228" s="34"/>
      <c r="B228" s="43"/>
      <c r="C228" s="44"/>
      <c r="D228" s="34"/>
      <c r="E228" s="45"/>
      <c r="F228" s="45"/>
      <c r="G228" s="46" t="e">
        <f ca="1">SUMPRODUCT(--(WEEKDAY(ROW(INDIRECT($E215:$E270&amp;":"&amp;$F215:$F255)),1)=1))</f>
        <v>#REF!</v>
      </c>
      <c r="H228" s="46" t="e">
        <f ca="1">SUMPRODUCT(--(WEEKDAY(ROW(INDIRECT($E215:$E270&amp;":"&amp;$F215:$F255)),1)=2))</f>
        <v>#REF!</v>
      </c>
      <c r="I228" s="46" t="e">
        <f ca="1">SUMPRODUCT(--(WEEKDAY(ROW(INDIRECT($E215:$E270&amp;":"&amp;$F215:$F255)),1)=3))</f>
        <v>#REF!</v>
      </c>
      <c r="J228" s="46" t="e">
        <f ca="1">SUMPRODUCT(--(WEEKDAY(ROW(INDIRECT($E215:$E270&amp;":"&amp;$F215:$F255)),1)=4))</f>
        <v>#REF!</v>
      </c>
      <c r="K228" s="46" t="e">
        <f ca="1">SUMPRODUCT(--(WEEKDAY(ROW(INDIRECT($E215:$E270&amp;":"&amp;$F215:$F255)),1)=5))</f>
        <v>#REF!</v>
      </c>
      <c r="L228" s="46" t="e">
        <f ca="1">SUMPRODUCT(--(WEEKDAY(ROW(INDIRECT($E215:$E270&amp;":"&amp;$F215:$F255)),1)=6))</f>
        <v>#REF!</v>
      </c>
      <c r="M228" s="46" t="e">
        <f ca="1">SUMPRODUCT(--(WEEKDAY(ROW(INDIRECT($E215:$E270&amp;":"&amp;$F215:$F255)),1)=7))</f>
        <v>#REF!</v>
      </c>
      <c r="N228" s="46" t="e">
        <f t="shared" ref="N228:N242" ca="1" si="87">SUM(H228:M228)</f>
        <v>#REF!</v>
      </c>
      <c r="O228" s="47">
        <f t="shared" ref="O228:O242" si="88">F228-E228+1</f>
        <v>1</v>
      </c>
      <c r="P228" s="47"/>
      <c r="Q228" s="48"/>
      <c r="R228" s="45"/>
      <c r="S228" s="76"/>
      <c r="T228" s="9"/>
      <c r="U228" s="19"/>
      <c r="V228" s="67"/>
      <c r="W228" s="8"/>
    </row>
    <row r="229" spans="1:28" ht="39.75" customHeight="1" x14ac:dyDescent="0.25">
      <c r="A229" s="34"/>
      <c r="B229" s="43"/>
      <c r="C229" s="44"/>
      <c r="D229" s="34"/>
      <c r="E229" s="45"/>
      <c r="F229" s="45"/>
      <c r="G229" s="46" t="e">
        <f ca="1">SUMPRODUCT(--(WEEKDAY(ROW(INDIRECT($E216:$E261&amp;":"&amp;$F216:$F246)),1)=1))</f>
        <v>#REF!</v>
      </c>
      <c r="H229" s="46" t="e">
        <f ca="1">SUMPRODUCT(--(WEEKDAY(ROW(INDIRECT($E216:$E261&amp;":"&amp;$F216:$F246)),1)=2))</f>
        <v>#REF!</v>
      </c>
      <c r="I229" s="46" t="e">
        <f ca="1">SUMPRODUCT(--(WEEKDAY(ROW(INDIRECT($E216:$E261&amp;":"&amp;$F216:$F246)),1)=3))</f>
        <v>#REF!</v>
      </c>
      <c r="J229" s="46" t="e">
        <f ca="1">SUMPRODUCT(--(WEEKDAY(ROW(INDIRECT($E216:$E261&amp;":"&amp;$F216:$F246)),1)=4))</f>
        <v>#REF!</v>
      </c>
      <c r="K229" s="46" t="e">
        <f ca="1">SUMPRODUCT(--(WEEKDAY(ROW(INDIRECT($E216:$E261&amp;":"&amp;$F216:$F246)),1)=5))</f>
        <v>#REF!</v>
      </c>
      <c r="L229" s="46" t="e">
        <f ca="1">SUMPRODUCT(--(WEEKDAY(ROW(INDIRECT($E216:$E261&amp;":"&amp;$F216:$F246)),1)=6))</f>
        <v>#REF!</v>
      </c>
      <c r="M229" s="46" t="e">
        <f ca="1">SUMPRODUCT(--(WEEKDAY(ROW(INDIRECT($E216:$E261&amp;":"&amp;$F216:$F246)),1)=7))</f>
        <v>#REF!</v>
      </c>
      <c r="N229" s="46" t="e">
        <f t="shared" ca="1" si="87"/>
        <v>#REF!</v>
      </c>
      <c r="O229" s="47">
        <f t="shared" si="88"/>
        <v>1</v>
      </c>
      <c r="P229" s="47"/>
      <c r="Q229" s="48"/>
      <c r="R229" s="45"/>
      <c r="S229" s="76"/>
      <c r="T229" s="9" t="s">
        <v>88</v>
      </c>
      <c r="U229" s="19" t="s">
        <v>70</v>
      </c>
      <c r="V229" s="67"/>
      <c r="W229" s="8"/>
    </row>
    <row r="230" spans="1:28" ht="39.75" customHeight="1" x14ac:dyDescent="0.25">
      <c r="A230" s="34"/>
      <c r="B230" s="43"/>
      <c r="C230" s="44"/>
      <c r="D230" s="34"/>
      <c r="E230" s="45"/>
      <c r="F230" s="45"/>
      <c r="G230" s="46" t="e">
        <f ca="1">SUMPRODUCT(--(WEEKDAY(ROW(INDIRECT($E217:$E262&amp;":"&amp;$F217:$F247)),1)=1))</f>
        <v>#REF!</v>
      </c>
      <c r="H230" s="46" t="e">
        <f ca="1">SUMPRODUCT(--(WEEKDAY(ROW(INDIRECT($E217:$E262&amp;":"&amp;$F217:$F247)),1)=2))</f>
        <v>#REF!</v>
      </c>
      <c r="I230" s="46" t="e">
        <f ca="1">SUMPRODUCT(--(WEEKDAY(ROW(INDIRECT($E217:$E262&amp;":"&amp;$F217:$F247)),1)=3))</f>
        <v>#REF!</v>
      </c>
      <c r="J230" s="46" t="e">
        <f ca="1">SUMPRODUCT(--(WEEKDAY(ROW(INDIRECT($E217:$E262&amp;":"&amp;$F217:$F247)),1)=4))</f>
        <v>#REF!</v>
      </c>
      <c r="K230" s="46" t="e">
        <f ca="1">SUMPRODUCT(--(WEEKDAY(ROW(INDIRECT($E217:$E262&amp;":"&amp;$F217:$F247)),1)=5))</f>
        <v>#REF!</v>
      </c>
      <c r="L230" s="46" t="e">
        <f ca="1">SUMPRODUCT(--(WEEKDAY(ROW(INDIRECT($E217:$E262&amp;":"&amp;$F217:$F247)),1)=6))</f>
        <v>#REF!</v>
      </c>
      <c r="M230" s="46" t="e">
        <f ca="1">SUMPRODUCT(--(WEEKDAY(ROW(INDIRECT($E217:$E262&amp;":"&amp;$F217:$F247)),1)=7))</f>
        <v>#REF!</v>
      </c>
      <c r="N230" s="46" t="e">
        <f t="shared" ca="1" si="87"/>
        <v>#REF!</v>
      </c>
      <c r="O230" s="47">
        <f t="shared" si="88"/>
        <v>1</v>
      </c>
      <c r="P230" s="47"/>
      <c r="Q230" s="48"/>
      <c r="R230" s="45"/>
      <c r="S230" s="76"/>
      <c r="T230" s="9" t="s">
        <v>88</v>
      </c>
      <c r="U230" s="19" t="s">
        <v>70</v>
      </c>
      <c r="V230" s="67"/>
      <c r="W230" s="8"/>
    </row>
    <row r="231" spans="1:28" ht="39.75" customHeight="1" x14ac:dyDescent="0.25">
      <c r="A231" s="34"/>
      <c r="B231" s="43"/>
      <c r="C231" s="44"/>
      <c r="D231" s="34"/>
      <c r="E231" s="45"/>
      <c r="F231" s="45"/>
      <c r="G231" s="46" t="e">
        <f ca="1">SUMPRODUCT(--(WEEKDAY(ROW(INDIRECT($E218:$E263&amp;":"&amp;$F218:$F258)),1)=1))</f>
        <v>#REF!</v>
      </c>
      <c r="H231" s="46" t="e">
        <f ca="1">SUMPRODUCT(--(WEEKDAY(ROW(INDIRECT($E218:$E263&amp;":"&amp;$F218:$F258)),1)=2))</f>
        <v>#REF!</v>
      </c>
      <c r="I231" s="46" t="e">
        <f ca="1">SUMPRODUCT(--(WEEKDAY(ROW(INDIRECT($E218:$E263&amp;":"&amp;$F218:$F258)),1)=3))</f>
        <v>#REF!</v>
      </c>
      <c r="J231" s="46" t="e">
        <f ca="1">SUMPRODUCT(--(WEEKDAY(ROW(INDIRECT($E218:$E263&amp;":"&amp;$F218:$F258)),1)=4))</f>
        <v>#REF!</v>
      </c>
      <c r="K231" s="46" t="e">
        <f ca="1">SUMPRODUCT(--(WEEKDAY(ROW(INDIRECT($E218:$E263&amp;":"&amp;$F218:$F258)),1)=5))</f>
        <v>#REF!</v>
      </c>
      <c r="L231" s="46" t="e">
        <f ca="1">SUMPRODUCT(--(WEEKDAY(ROW(INDIRECT($E218:$E263&amp;":"&amp;$F218:$F258)),1)=6))</f>
        <v>#REF!</v>
      </c>
      <c r="M231" s="46" t="e">
        <f ca="1">SUMPRODUCT(--(WEEKDAY(ROW(INDIRECT($E218:$E263&amp;":"&amp;$F218:$F258)),1)=7))</f>
        <v>#REF!</v>
      </c>
      <c r="N231" s="46" t="e">
        <f t="shared" ca="1" si="87"/>
        <v>#REF!</v>
      </c>
      <c r="O231" s="47">
        <f t="shared" si="88"/>
        <v>1</v>
      </c>
      <c r="P231" s="47"/>
      <c r="Q231" s="48"/>
      <c r="R231" s="45"/>
      <c r="S231" s="76"/>
      <c r="T231" s="9" t="s">
        <v>88</v>
      </c>
      <c r="U231" s="19" t="s">
        <v>70</v>
      </c>
      <c r="V231" s="67"/>
      <c r="W231" s="8"/>
    </row>
    <row r="232" spans="1:28" ht="39.75" customHeight="1" x14ac:dyDescent="0.25">
      <c r="A232" s="34"/>
      <c r="B232" s="43"/>
      <c r="C232" s="44"/>
      <c r="D232" s="34"/>
      <c r="E232" s="45"/>
      <c r="F232" s="45"/>
      <c r="G232" s="46" t="e">
        <f ca="1">SUMPRODUCT(--(WEEKDAY(ROW(INDIRECT($E219:$E264&amp;":"&amp;$F219:$F259)),1)=1))</f>
        <v>#REF!</v>
      </c>
      <c r="H232" s="46" t="e">
        <f ca="1">SUMPRODUCT(--(WEEKDAY(ROW(INDIRECT($E219:$E264&amp;":"&amp;$F219:$F259)),1)=2))</f>
        <v>#REF!</v>
      </c>
      <c r="I232" s="46" t="e">
        <f ca="1">SUMPRODUCT(--(WEEKDAY(ROW(INDIRECT($E219:$E264&amp;":"&amp;$F219:$F259)),1)=3))</f>
        <v>#REF!</v>
      </c>
      <c r="J232" s="46" t="e">
        <f ca="1">SUMPRODUCT(--(WEEKDAY(ROW(INDIRECT($E219:$E264&amp;":"&amp;$F219:$F259)),1)=4))</f>
        <v>#REF!</v>
      </c>
      <c r="K232" s="46" t="e">
        <f ca="1">SUMPRODUCT(--(WEEKDAY(ROW(INDIRECT($E219:$E264&amp;":"&amp;$F219:$F259)),1)=5))</f>
        <v>#REF!</v>
      </c>
      <c r="L232" s="46" t="e">
        <f ca="1">SUMPRODUCT(--(WEEKDAY(ROW(INDIRECT($E219:$E264&amp;":"&amp;$F219:$F259)),1)=6))</f>
        <v>#REF!</v>
      </c>
      <c r="M232" s="46" t="e">
        <f ca="1">SUMPRODUCT(--(WEEKDAY(ROW(INDIRECT($E219:$E264&amp;":"&amp;$F219:$F259)),1)=7))</f>
        <v>#REF!</v>
      </c>
      <c r="N232" s="46" t="e">
        <f t="shared" ca="1" si="87"/>
        <v>#REF!</v>
      </c>
      <c r="O232" s="47">
        <f t="shared" si="88"/>
        <v>1</v>
      </c>
      <c r="P232" s="47"/>
      <c r="Q232" s="48"/>
      <c r="R232" s="45"/>
      <c r="S232" s="76"/>
      <c r="T232" s="9" t="s">
        <v>88</v>
      </c>
      <c r="U232" s="19" t="s">
        <v>70</v>
      </c>
      <c r="V232" s="67"/>
      <c r="W232" s="8"/>
    </row>
    <row r="233" spans="1:28" ht="52.5" customHeight="1" x14ac:dyDescent="0.25">
      <c r="A233" s="34">
        <v>1</v>
      </c>
      <c r="B233" s="43"/>
      <c r="C233" s="44"/>
      <c r="D233" s="80"/>
      <c r="E233" s="45"/>
      <c r="F233" s="45"/>
      <c r="G233" s="46" t="e">
        <v>#REF!</v>
      </c>
      <c r="H233" s="46" t="e">
        <v>#REF!</v>
      </c>
      <c r="I233" s="46" t="e">
        <v>#REF!</v>
      </c>
      <c r="J233" s="46" t="e">
        <v>#REF!</v>
      </c>
      <c r="K233" s="46" t="e">
        <v>#REF!</v>
      </c>
      <c r="L233" s="46" t="e">
        <v>#REF!</v>
      </c>
      <c r="M233" s="46" t="e">
        <v>#REF!</v>
      </c>
      <c r="N233" s="46" t="e">
        <v>#REF!</v>
      </c>
      <c r="O233" s="47">
        <v>1</v>
      </c>
      <c r="P233" s="47"/>
      <c r="Q233" s="48"/>
      <c r="R233" s="45"/>
      <c r="S233" s="81"/>
      <c r="T233" s="9" t="s">
        <v>92</v>
      </c>
      <c r="U233" s="19" t="s">
        <v>93</v>
      </c>
      <c r="V233" s="82"/>
    </row>
    <row r="234" spans="1:28" ht="52.5" customHeight="1" x14ac:dyDescent="0.25">
      <c r="A234" s="34">
        <v>1</v>
      </c>
      <c r="B234" s="43"/>
      <c r="C234" s="44"/>
      <c r="D234" s="80"/>
      <c r="E234" s="45"/>
      <c r="F234" s="45"/>
      <c r="G234" s="46" t="e">
        <v>#REF!</v>
      </c>
      <c r="H234" s="46" t="e">
        <v>#REF!</v>
      </c>
      <c r="I234" s="46" t="e">
        <v>#REF!</v>
      </c>
      <c r="J234" s="46" t="e">
        <v>#REF!</v>
      </c>
      <c r="K234" s="46" t="e">
        <v>#REF!</v>
      </c>
      <c r="L234" s="46" t="e">
        <v>#REF!</v>
      </c>
      <c r="M234" s="46" t="e">
        <v>#REF!</v>
      </c>
      <c r="N234" s="46" t="e">
        <v>#REF!</v>
      </c>
      <c r="O234" s="47">
        <v>1</v>
      </c>
      <c r="P234" s="47"/>
      <c r="Q234" s="48"/>
      <c r="R234" s="45"/>
      <c r="S234" s="81"/>
      <c r="T234" s="9" t="s">
        <v>92</v>
      </c>
      <c r="U234" s="19" t="s">
        <v>93</v>
      </c>
      <c r="V234" s="82"/>
    </row>
    <row r="235" spans="1:28" ht="52.5" customHeight="1" x14ac:dyDescent="0.25">
      <c r="A235" s="34">
        <v>1</v>
      </c>
      <c r="B235" s="43"/>
      <c r="C235" s="44"/>
      <c r="D235" s="80"/>
      <c r="E235" s="45"/>
      <c r="F235" s="45"/>
      <c r="G235" s="46" t="e">
        <v>#REF!</v>
      </c>
      <c r="H235" s="46" t="e">
        <v>#REF!</v>
      </c>
      <c r="I235" s="46" t="e">
        <v>#REF!</v>
      </c>
      <c r="J235" s="46" t="e">
        <v>#REF!</v>
      </c>
      <c r="K235" s="46" t="e">
        <v>#REF!</v>
      </c>
      <c r="L235" s="46" t="e">
        <v>#REF!</v>
      </c>
      <c r="M235" s="46" t="e">
        <v>#REF!</v>
      </c>
      <c r="N235" s="46" t="e">
        <v>#REF!</v>
      </c>
      <c r="O235" s="47">
        <v>1</v>
      </c>
      <c r="P235" s="47"/>
      <c r="Q235" s="48"/>
      <c r="R235" s="45"/>
      <c r="S235" s="81"/>
      <c r="T235" s="9" t="s">
        <v>92</v>
      </c>
      <c r="U235" s="19" t="s">
        <v>93</v>
      </c>
      <c r="V235" s="82"/>
    </row>
    <row r="236" spans="1:28" ht="52.5" customHeight="1" x14ac:dyDescent="0.25">
      <c r="A236" s="34">
        <v>1</v>
      </c>
      <c r="B236" s="43"/>
      <c r="C236" s="44"/>
      <c r="D236" s="80"/>
      <c r="E236" s="45"/>
      <c r="F236" s="45"/>
      <c r="G236" s="46" t="e">
        <v>#REF!</v>
      </c>
      <c r="H236" s="46" t="e">
        <v>#REF!</v>
      </c>
      <c r="I236" s="46" t="e">
        <v>#REF!</v>
      </c>
      <c r="J236" s="46" t="e">
        <v>#REF!</v>
      </c>
      <c r="K236" s="46" t="e">
        <v>#REF!</v>
      </c>
      <c r="L236" s="46" t="e">
        <v>#REF!</v>
      </c>
      <c r="M236" s="46" t="e">
        <v>#REF!</v>
      </c>
      <c r="N236" s="46" t="e">
        <v>#REF!</v>
      </c>
      <c r="O236" s="47">
        <v>1</v>
      </c>
      <c r="P236" s="47"/>
      <c r="Q236" s="48"/>
      <c r="R236" s="45"/>
      <c r="S236" s="81"/>
      <c r="T236" s="9" t="s">
        <v>92</v>
      </c>
      <c r="U236" s="19" t="s">
        <v>93</v>
      </c>
      <c r="V236" s="82"/>
    </row>
    <row r="237" spans="1:28" ht="52.5" customHeight="1" x14ac:dyDescent="0.25">
      <c r="A237" s="34">
        <v>1</v>
      </c>
      <c r="B237" s="43"/>
      <c r="C237" s="44"/>
      <c r="D237" s="80"/>
      <c r="E237" s="45"/>
      <c r="F237" s="45"/>
      <c r="G237" s="46" t="e">
        <v>#REF!</v>
      </c>
      <c r="H237" s="46" t="e">
        <v>#REF!</v>
      </c>
      <c r="I237" s="46" t="e">
        <v>#REF!</v>
      </c>
      <c r="J237" s="46" t="e">
        <v>#REF!</v>
      </c>
      <c r="K237" s="46" t="e">
        <v>#REF!</v>
      </c>
      <c r="L237" s="46" t="e">
        <v>#REF!</v>
      </c>
      <c r="M237" s="46" t="e">
        <v>#REF!</v>
      </c>
      <c r="N237" s="46" t="e">
        <v>#REF!</v>
      </c>
      <c r="O237" s="47">
        <v>1</v>
      </c>
      <c r="P237" s="47"/>
      <c r="Q237" s="48"/>
      <c r="R237" s="45"/>
      <c r="S237" s="81"/>
      <c r="T237" s="9" t="s">
        <v>92</v>
      </c>
      <c r="U237" s="19" t="s">
        <v>93</v>
      </c>
      <c r="V237" s="82"/>
    </row>
    <row r="238" spans="1:28" ht="52.5" customHeight="1" x14ac:dyDescent="0.25">
      <c r="A238" s="34">
        <v>1</v>
      </c>
      <c r="B238" s="43"/>
      <c r="C238" s="44"/>
      <c r="D238" s="80"/>
      <c r="E238" s="45"/>
      <c r="F238" s="45"/>
      <c r="G238" s="46" t="e">
        <v>#REF!</v>
      </c>
      <c r="H238" s="46" t="e">
        <v>#REF!</v>
      </c>
      <c r="I238" s="46" t="e">
        <v>#REF!</v>
      </c>
      <c r="J238" s="46" t="e">
        <v>#REF!</v>
      </c>
      <c r="K238" s="46" t="e">
        <v>#REF!</v>
      </c>
      <c r="L238" s="46" t="e">
        <v>#REF!</v>
      </c>
      <c r="M238" s="46" t="e">
        <v>#REF!</v>
      </c>
      <c r="N238" s="46" t="e">
        <v>#REF!</v>
      </c>
      <c r="O238" s="47">
        <v>1</v>
      </c>
      <c r="P238" s="47"/>
      <c r="Q238" s="48"/>
      <c r="R238" s="45"/>
      <c r="S238" s="81"/>
      <c r="T238" s="9" t="s">
        <v>92</v>
      </c>
      <c r="U238" s="19" t="s">
        <v>93</v>
      </c>
      <c r="V238" s="82"/>
    </row>
    <row r="239" spans="1:28" ht="52.5" customHeight="1" x14ac:dyDescent="0.25">
      <c r="A239" s="34">
        <v>1</v>
      </c>
      <c r="B239" s="43"/>
      <c r="C239" s="44"/>
      <c r="D239" s="80"/>
      <c r="E239" s="45"/>
      <c r="F239" s="45"/>
      <c r="G239" s="46" t="e">
        <v>#REF!</v>
      </c>
      <c r="H239" s="46" t="e">
        <v>#REF!</v>
      </c>
      <c r="I239" s="46" t="e">
        <v>#REF!</v>
      </c>
      <c r="J239" s="46" t="e">
        <v>#REF!</v>
      </c>
      <c r="K239" s="46" t="e">
        <v>#REF!</v>
      </c>
      <c r="L239" s="46" t="e">
        <v>#REF!</v>
      </c>
      <c r="M239" s="46" t="e">
        <v>#REF!</v>
      </c>
      <c r="N239" s="46" t="e">
        <v>#REF!</v>
      </c>
      <c r="O239" s="47">
        <v>1</v>
      </c>
      <c r="P239" s="47"/>
      <c r="Q239" s="48"/>
      <c r="R239" s="45"/>
      <c r="S239" s="81"/>
      <c r="T239" s="9" t="s">
        <v>92</v>
      </c>
      <c r="U239" s="19" t="s">
        <v>93</v>
      </c>
      <c r="V239" s="82"/>
    </row>
    <row r="240" spans="1:28" ht="52.5" customHeight="1" x14ac:dyDescent="0.25">
      <c r="A240" s="34">
        <v>1</v>
      </c>
      <c r="B240" s="43"/>
      <c r="C240" s="44"/>
      <c r="D240" s="80"/>
      <c r="E240" s="45"/>
      <c r="F240" s="45"/>
      <c r="G240" s="46" t="e">
        <v>#REF!</v>
      </c>
      <c r="H240" s="46" t="e">
        <v>#REF!</v>
      </c>
      <c r="I240" s="46" t="e">
        <v>#REF!</v>
      </c>
      <c r="J240" s="46" t="e">
        <v>#REF!</v>
      </c>
      <c r="K240" s="46" t="e">
        <v>#REF!</v>
      </c>
      <c r="L240" s="46" t="e">
        <v>#REF!</v>
      </c>
      <c r="M240" s="46" t="e">
        <v>#REF!</v>
      </c>
      <c r="N240" s="46" t="e">
        <v>#REF!</v>
      </c>
      <c r="O240" s="47">
        <v>1</v>
      </c>
      <c r="P240" s="47"/>
      <c r="Q240" s="48"/>
      <c r="R240" s="45"/>
      <c r="S240" s="81"/>
      <c r="T240" s="9" t="s">
        <v>92</v>
      </c>
      <c r="U240" s="19" t="s">
        <v>93</v>
      </c>
      <c r="V240" s="82"/>
    </row>
    <row r="241" spans="1:25" ht="39.75" customHeight="1" x14ac:dyDescent="0.25">
      <c r="A241" s="34"/>
      <c r="B241" s="43"/>
      <c r="C241" s="44"/>
      <c r="D241" s="34"/>
      <c r="E241" s="45"/>
      <c r="F241" s="45"/>
      <c r="G241" s="46" t="e">
        <f ca="1">SUMPRODUCT(--(WEEKDAY(ROW(INDIRECT($E220:$E265&amp;":"&amp;$F220:$F260)),1)=1))</f>
        <v>#REF!</v>
      </c>
      <c r="H241" s="46" t="e">
        <f ca="1">SUMPRODUCT(--(WEEKDAY(ROW(INDIRECT($E220:$E265&amp;":"&amp;$F220:$F260)),1)=2))</f>
        <v>#REF!</v>
      </c>
      <c r="I241" s="46" t="e">
        <f ca="1">SUMPRODUCT(--(WEEKDAY(ROW(INDIRECT($E220:$E265&amp;":"&amp;$F220:$F260)),1)=3))</f>
        <v>#REF!</v>
      </c>
      <c r="J241" s="46" t="e">
        <f ca="1">SUMPRODUCT(--(WEEKDAY(ROW(INDIRECT($E220:$E265&amp;":"&amp;$F220:$F260)),1)=4))</f>
        <v>#REF!</v>
      </c>
      <c r="K241" s="46" t="e">
        <f ca="1">SUMPRODUCT(--(WEEKDAY(ROW(INDIRECT($E220:$E265&amp;":"&amp;$F220:$F260)),1)=5))</f>
        <v>#REF!</v>
      </c>
      <c r="L241" s="46" t="e">
        <f ca="1">SUMPRODUCT(--(WEEKDAY(ROW(INDIRECT($E220:$E265&amp;":"&amp;$F220:$F260)),1)=6))</f>
        <v>#REF!</v>
      </c>
      <c r="M241" s="46" t="e">
        <f ca="1">SUMPRODUCT(--(WEEKDAY(ROW(INDIRECT($E220:$E265&amp;":"&amp;$F220:$F260)),1)=7))</f>
        <v>#REF!</v>
      </c>
      <c r="N241" s="46" t="e">
        <f t="shared" ca="1" si="87"/>
        <v>#REF!</v>
      </c>
      <c r="O241" s="47">
        <f t="shared" si="88"/>
        <v>1</v>
      </c>
      <c r="P241" s="47"/>
      <c r="Q241" s="48"/>
      <c r="R241" s="45"/>
      <c r="S241" s="76"/>
      <c r="T241" s="9" t="s">
        <v>88</v>
      </c>
      <c r="U241" s="19" t="s">
        <v>70</v>
      </c>
      <c r="V241" s="67"/>
      <c r="W241" s="8"/>
    </row>
    <row r="242" spans="1:25" ht="39.75" customHeight="1" x14ac:dyDescent="0.25">
      <c r="A242" s="34"/>
      <c r="B242" s="43"/>
      <c r="C242" s="44"/>
      <c r="D242" s="34"/>
      <c r="E242" s="45"/>
      <c r="F242" s="45"/>
      <c r="G242" s="46" t="e">
        <f ca="1">SUMPRODUCT(--(WEEKDAY(ROW(INDIRECT($E221:$E266&amp;":"&amp;$F221:$F261)),1)=1))</f>
        <v>#REF!</v>
      </c>
      <c r="H242" s="46" t="e">
        <f ca="1">SUMPRODUCT(--(WEEKDAY(ROW(INDIRECT($E221:$E266&amp;":"&amp;$F221:$F261)),1)=2))</f>
        <v>#REF!</v>
      </c>
      <c r="I242" s="46" t="e">
        <f ca="1">SUMPRODUCT(--(WEEKDAY(ROW(INDIRECT($E221:$E266&amp;":"&amp;$F221:$F261)),1)=3))</f>
        <v>#REF!</v>
      </c>
      <c r="J242" s="46" t="e">
        <f ca="1">SUMPRODUCT(--(WEEKDAY(ROW(INDIRECT($E221:$E266&amp;":"&amp;$F221:$F261)),1)=4))</f>
        <v>#REF!</v>
      </c>
      <c r="K242" s="46" t="e">
        <f ca="1">SUMPRODUCT(--(WEEKDAY(ROW(INDIRECT($E221:$E266&amp;":"&amp;$F221:$F261)),1)=5))</f>
        <v>#REF!</v>
      </c>
      <c r="L242" s="46" t="e">
        <f ca="1">SUMPRODUCT(--(WEEKDAY(ROW(INDIRECT($E221:$E266&amp;":"&amp;$F221:$F261)),1)=6))</f>
        <v>#REF!</v>
      </c>
      <c r="M242" s="46" t="e">
        <f ca="1">SUMPRODUCT(--(WEEKDAY(ROW(INDIRECT($E221:$E266&amp;":"&amp;$F221:$F261)),1)=7))</f>
        <v>#REF!</v>
      </c>
      <c r="N242" s="46" t="e">
        <f t="shared" ca="1" si="87"/>
        <v>#REF!</v>
      </c>
      <c r="O242" s="47">
        <f t="shared" si="88"/>
        <v>1</v>
      </c>
      <c r="P242" s="47"/>
      <c r="Q242" s="48"/>
      <c r="R242" s="45"/>
      <c r="S242" s="76"/>
      <c r="T242" s="9" t="s">
        <v>88</v>
      </c>
      <c r="U242" s="19" t="s">
        <v>70</v>
      </c>
      <c r="V242" s="67"/>
      <c r="W242" s="8"/>
    </row>
    <row r="243" spans="1:25" ht="31.5" customHeight="1" x14ac:dyDescent="0.25">
      <c r="A243" s="122" t="s">
        <v>62</v>
      </c>
      <c r="B243" s="123"/>
      <c r="C243" s="123"/>
      <c r="D243" s="123"/>
      <c r="E243" s="123"/>
      <c r="F243" s="124"/>
      <c r="G243" s="51"/>
      <c r="H243" s="51"/>
      <c r="I243" s="51"/>
      <c r="J243" s="51"/>
      <c r="K243" s="51"/>
      <c r="L243" s="51"/>
      <c r="M243" s="51"/>
      <c r="N243" s="51"/>
      <c r="O243" s="52">
        <v>8</v>
      </c>
      <c r="P243" s="35"/>
      <c r="Q243" s="48"/>
      <c r="R243" s="45"/>
      <c r="S243" s="49"/>
      <c r="T243" s="22"/>
      <c r="U243" s="74"/>
      <c r="V243" s="67"/>
      <c r="Y243" s="75"/>
    </row>
    <row r="244" spans="1:25" ht="31.5" customHeight="1" x14ac:dyDescent="0.25">
      <c r="A244" s="35" t="s">
        <v>90</v>
      </c>
      <c r="B244" s="36"/>
      <c r="C244" s="132" t="s">
        <v>91</v>
      </c>
      <c r="D244" s="133"/>
      <c r="E244" s="133"/>
      <c r="F244" s="133"/>
      <c r="G244" s="133"/>
      <c r="H244" s="133"/>
      <c r="I244" s="133"/>
      <c r="J244" s="133"/>
      <c r="K244" s="133"/>
      <c r="L244" s="133"/>
      <c r="M244" s="133"/>
      <c r="N244" s="133"/>
      <c r="O244" s="133"/>
      <c r="P244" s="133"/>
      <c r="Q244" s="134"/>
      <c r="R244" s="35"/>
      <c r="S244" s="41"/>
      <c r="T244" s="77"/>
      <c r="U244" s="77"/>
      <c r="V244" s="78"/>
      <c r="W244" s="79"/>
      <c r="Y244" s="28"/>
    </row>
    <row r="245" spans="1:25" ht="52.5" customHeight="1" x14ac:dyDescent="0.25">
      <c r="A245" s="34">
        <v>1</v>
      </c>
      <c r="B245" s="43"/>
      <c r="C245" s="44"/>
      <c r="D245" s="80"/>
      <c r="E245" s="45"/>
      <c r="F245" s="45"/>
      <c r="G245" s="46" t="e">
        <v>#REF!</v>
      </c>
      <c r="H245" s="46" t="e">
        <v>#REF!</v>
      </c>
      <c r="I245" s="46" t="e">
        <v>#REF!</v>
      </c>
      <c r="J245" s="46" t="e">
        <v>#REF!</v>
      </c>
      <c r="K245" s="46" t="e">
        <v>#REF!</v>
      </c>
      <c r="L245" s="46" t="e">
        <v>#REF!</v>
      </c>
      <c r="M245" s="46" t="e">
        <v>#REF!</v>
      </c>
      <c r="N245" s="46" t="e">
        <v>#REF!</v>
      </c>
      <c r="O245" s="47">
        <v>1</v>
      </c>
      <c r="P245" s="47"/>
      <c r="Q245" s="48"/>
      <c r="R245" s="45"/>
      <c r="S245" s="81"/>
      <c r="T245" s="9" t="s">
        <v>92</v>
      </c>
      <c r="U245" s="19" t="s">
        <v>93</v>
      </c>
      <c r="V245" s="82"/>
    </row>
    <row r="246" spans="1:25" ht="52.5" customHeight="1" x14ac:dyDescent="0.25">
      <c r="A246" s="34">
        <v>1</v>
      </c>
      <c r="B246" s="43"/>
      <c r="C246" s="44"/>
      <c r="D246" s="80"/>
      <c r="E246" s="45"/>
      <c r="F246" s="45"/>
      <c r="G246" s="46" t="e">
        <v>#REF!</v>
      </c>
      <c r="H246" s="46" t="e">
        <v>#REF!</v>
      </c>
      <c r="I246" s="46" t="e">
        <v>#REF!</v>
      </c>
      <c r="J246" s="46" t="e">
        <v>#REF!</v>
      </c>
      <c r="K246" s="46" t="e">
        <v>#REF!</v>
      </c>
      <c r="L246" s="46" t="e">
        <v>#REF!</v>
      </c>
      <c r="M246" s="46" t="e">
        <v>#REF!</v>
      </c>
      <c r="N246" s="46" t="e">
        <v>#REF!</v>
      </c>
      <c r="O246" s="47">
        <v>1</v>
      </c>
      <c r="P246" s="47"/>
      <c r="Q246" s="48"/>
      <c r="R246" s="45"/>
      <c r="S246" s="81"/>
      <c r="T246" s="9" t="s">
        <v>92</v>
      </c>
      <c r="U246" s="19" t="s">
        <v>93</v>
      </c>
      <c r="V246" s="82"/>
    </row>
    <row r="247" spans="1:25" ht="52.5" customHeight="1" x14ac:dyDescent="0.25">
      <c r="A247" s="34">
        <v>1</v>
      </c>
      <c r="B247" s="43"/>
      <c r="C247" s="44"/>
      <c r="D247" s="80"/>
      <c r="E247" s="45"/>
      <c r="F247" s="45"/>
      <c r="G247" s="46" t="e">
        <v>#REF!</v>
      </c>
      <c r="H247" s="46" t="e">
        <v>#REF!</v>
      </c>
      <c r="I247" s="46" t="e">
        <v>#REF!</v>
      </c>
      <c r="J247" s="46" t="e">
        <v>#REF!</v>
      </c>
      <c r="K247" s="46" t="e">
        <v>#REF!</v>
      </c>
      <c r="L247" s="46" t="e">
        <v>#REF!</v>
      </c>
      <c r="M247" s="46" t="e">
        <v>#REF!</v>
      </c>
      <c r="N247" s="46" t="e">
        <v>#REF!</v>
      </c>
      <c r="O247" s="47">
        <v>1</v>
      </c>
      <c r="P247" s="47"/>
      <c r="Q247" s="48"/>
      <c r="R247" s="45"/>
      <c r="S247" s="81"/>
      <c r="T247" s="9" t="s">
        <v>92</v>
      </c>
      <c r="U247" s="19" t="s">
        <v>93</v>
      </c>
      <c r="V247" s="82"/>
    </row>
    <row r="248" spans="1:25" ht="31.5" customHeight="1" x14ac:dyDescent="0.25">
      <c r="A248" s="122" t="s">
        <v>62</v>
      </c>
      <c r="B248" s="123"/>
      <c r="C248" s="123"/>
      <c r="D248" s="123"/>
      <c r="E248" s="123"/>
      <c r="F248" s="124"/>
      <c r="G248" s="51"/>
      <c r="H248" s="51"/>
      <c r="I248" s="51"/>
      <c r="J248" s="51"/>
      <c r="K248" s="51"/>
      <c r="L248" s="51"/>
      <c r="M248" s="51"/>
      <c r="N248" s="51"/>
      <c r="O248" s="35">
        <v>1</v>
      </c>
      <c r="P248" s="35"/>
      <c r="Q248" s="48"/>
      <c r="R248" s="45"/>
      <c r="S248" s="49"/>
      <c r="T248" s="22"/>
    </row>
    <row r="249" spans="1:25" ht="27" customHeight="1" x14ac:dyDescent="0.25">
      <c r="A249" s="35" t="s">
        <v>24</v>
      </c>
      <c r="B249" s="36"/>
      <c r="C249" s="132" t="s">
        <v>94</v>
      </c>
      <c r="D249" s="133"/>
      <c r="E249" s="133"/>
      <c r="F249" s="63"/>
      <c r="G249" s="63"/>
      <c r="H249" s="63"/>
      <c r="I249" s="63"/>
      <c r="J249" s="63"/>
      <c r="K249" s="63"/>
      <c r="L249" s="63"/>
      <c r="M249" s="63"/>
      <c r="N249" s="63"/>
      <c r="O249" s="63"/>
      <c r="P249" s="63"/>
      <c r="Q249" s="83"/>
      <c r="R249" s="84"/>
      <c r="S249" s="85"/>
      <c r="T249" s="86"/>
      <c r="U249" s="19"/>
    </row>
    <row r="250" spans="1:25" ht="27" customHeight="1" x14ac:dyDescent="0.25">
      <c r="A250" s="35" t="s">
        <v>29</v>
      </c>
      <c r="B250" s="36"/>
      <c r="C250" s="63" t="s">
        <v>95</v>
      </c>
      <c r="D250" s="63"/>
      <c r="E250" s="63"/>
      <c r="F250" s="63"/>
      <c r="G250" s="63"/>
      <c r="H250" s="63"/>
      <c r="I250" s="63"/>
      <c r="J250" s="63"/>
      <c r="K250" s="63"/>
      <c r="L250" s="63"/>
      <c r="M250" s="63"/>
      <c r="N250" s="63"/>
      <c r="O250" s="63"/>
      <c r="P250" s="63"/>
      <c r="Q250" s="83"/>
      <c r="R250" s="84"/>
      <c r="S250" s="85"/>
      <c r="T250" s="86"/>
      <c r="U250" s="78"/>
    </row>
    <row r="251" spans="1:25" ht="30.75" customHeight="1" x14ac:dyDescent="0.25">
      <c r="A251" s="35" t="s">
        <v>68</v>
      </c>
      <c r="B251" s="36"/>
      <c r="C251" s="87" t="s">
        <v>96</v>
      </c>
      <c r="D251" s="88"/>
      <c r="E251" s="88"/>
      <c r="F251" s="89"/>
      <c r="G251" s="42" t="s">
        <v>31</v>
      </c>
      <c r="H251" s="42" t="s">
        <v>32</v>
      </c>
      <c r="I251" s="42" t="s">
        <v>33</v>
      </c>
      <c r="J251" s="42" t="s">
        <v>34</v>
      </c>
      <c r="K251" s="42" t="s">
        <v>35</v>
      </c>
      <c r="L251" s="42" t="s">
        <v>36</v>
      </c>
      <c r="M251" s="42" t="s">
        <v>37</v>
      </c>
      <c r="N251" s="42" t="s">
        <v>38</v>
      </c>
      <c r="O251" s="90"/>
      <c r="P251" s="90"/>
      <c r="Q251" s="91"/>
      <c r="R251" s="92"/>
      <c r="S251" s="91"/>
      <c r="T251" s="93"/>
      <c r="U251" s="78"/>
      <c r="V251" s="67"/>
    </row>
    <row r="252" spans="1:25" ht="31.5" customHeight="1" x14ac:dyDescent="0.25">
      <c r="A252" s="34">
        <v>1</v>
      </c>
      <c r="B252" s="107" t="s">
        <v>270</v>
      </c>
      <c r="C252" s="108" t="s">
        <v>146</v>
      </c>
      <c r="D252" s="109" t="s">
        <v>271</v>
      </c>
      <c r="E252" s="110">
        <v>46168</v>
      </c>
      <c r="F252" s="110">
        <v>46172</v>
      </c>
      <c r="G252" s="46">
        <f ca="1">SUMPRODUCT(--(WEEKDAY(ROW(INDIRECT($E245:$E278&amp;":"&amp;$F245:$F273)),1)=1))</f>
        <v>0</v>
      </c>
      <c r="H252" s="46">
        <f ca="1">SUMPRODUCT(--(WEEKDAY(ROW(INDIRECT($E245:$E278&amp;":"&amp;$F245:$F273)),1)=2))</f>
        <v>0</v>
      </c>
      <c r="I252" s="46">
        <f ca="1">SUMPRODUCT(--(WEEKDAY(ROW(INDIRECT($E245:$E278&amp;":"&amp;$F245:$F273)),1)=3))</f>
        <v>1</v>
      </c>
      <c r="J252" s="46">
        <f ca="1">SUMPRODUCT(--(WEEKDAY(ROW(INDIRECT($E245:$E278&amp;":"&amp;$F245:$F273)),1)=4))</f>
        <v>1</v>
      </c>
      <c r="K252" s="46">
        <f ca="1">SUMPRODUCT(--(WEEKDAY(ROW(INDIRECT($E245:$E278&amp;":"&amp;$F245:$F273)),1)=5))</f>
        <v>1</v>
      </c>
      <c r="L252" s="46">
        <f ca="1">SUMPRODUCT(--(WEEKDAY(ROW(INDIRECT($E245:$E278&amp;":"&amp;$F245:$F273)),1)=6))</f>
        <v>1</v>
      </c>
      <c r="M252" s="46">
        <f ca="1">SUMPRODUCT(--(WEEKDAY(ROW(INDIRECT($E245:$E278&amp;":"&amp;$F245:$F273)),1)=7))</f>
        <v>1</v>
      </c>
      <c r="N252" s="46">
        <f t="shared" ref="N252:N256" ca="1" si="89">SUM(H252:M252)</f>
        <v>5</v>
      </c>
      <c r="O252" s="47">
        <f t="shared" ref="O252:O256" si="90">F252-E252+1</f>
        <v>5</v>
      </c>
      <c r="P252" s="47"/>
      <c r="Q252" s="48"/>
      <c r="R252" s="45"/>
      <c r="S252" s="45"/>
      <c r="T252" s="9" t="s">
        <v>97</v>
      </c>
      <c r="U252" s="19" t="s">
        <v>98</v>
      </c>
      <c r="V252" s="67"/>
      <c r="W252" s="8">
        <v>-1</v>
      </c>
    </row>
    <row r="253" spans="1:25" ht="31.5" customHeight="1" x14ac:dyDescent="0.25">
      <c r="A253" s="34">
        <v>2</v>
      </c>
      <c r="B253" s="107" t="s">
        <v>272</v>
      </c>
      <c r="C253" s="108" t="s">
        <v>273</v>
      </c>
      <c r="D253" s="109" t="s">
        <v>274</v>
      </c>
      <c r="E253" s="110">
        <v>46161</v>
      </c>
      <c r="F253" s="110">
        <v>46167</v>
      </c>
      <c r="G253" s="46">
        <f ca="1">SUMPRODUCT(--(WEEKDAY(ROW(INDIRECT($E248:$E279&amp;":"&amp;$F248:$F274)),1)=1))</f>
        <v>1</v>
      </c>
      <c r="H253" s="46">
        <f ca="1">SUMPRODUCT(--(WEEKDAY(ROW(INDIRECT($E248:$E279&amp;":"&amp;$F248:$F274)),1)=2))</f>
        <v>1</v>
      </c>
      <c r="I253" s="46">
        <f ca="1">SUMPRODUCT(--(WEEKDAY(ROW(INDIRECT($E248:$E279&amp;":"&amp;$F248:$F274)),1)=3))</f>
        <v>1</v>
      </c>
      <c r="J253" s="46">
        <f ca="1">SUMPRODUCT(--(WEEKDAY(ROW(INDIRECT($E248:$E279&amp;":"&amp;$F248:$F274)),1)=4))</f>
        <v>1</v>
      </c>
      <c r="K253" s="46">
        <f ca="1">SUMPRODUCT(--(WEEKDAY(ROW(INDIRECT($E248:$E279&amp;":"&amp;$F248:$F274)),1)=5))</f>
        <v>1</v>
      </c>
      <c r="L253" s="46">
        <f ca="1">SUMPRODUCT(--(WEEKDAY(ROW(INDIRECT($E248:$E279&amp;":"&amp;$F248:$F274)),1)=6))</f>
        <v>1</v>
      </c>
      <c r="M253" s="46">
        <f ca="1">SUMPRODUCT(--(WEEKDAY(ROW(INDIRECT($E248:$E279&amp;":"&amp;$F248:$F274)),1)=7))</f>
        <v>1</v>
      </c>
      <c r="N253" s="46">
        <f t="shared" ca="1" si="89"/>
        <v>6</v>
      </c>
      <c r="O253" s="47">
        <f t="shared" si="90"/>
        <v>7</v>
      </c>
      <c r="P253" s="47"/>
      <c r="Q253" s="48"/>
      <c r="R253" s="45"/>
      <c r="S253" s="59"/>
      <c r="T253" s="9" t="s">
        <v>97</v>
      </c>
      <c r="U253" s="19" t="s">
        <v>98</v>
      </c>
      <c r="V253" s="67"/>
      <c r="W253" s="8">
        <v>-1</v>
      </c>
    </row>
    <row r="254" spans="1:25" ht="31.5" customHeight="1" x14ac:dyDescent="0.25">
      <c r="A254" s="34">
        <v>2</v>
      </c>
      <c r="B254" s="43" t="s">
        <v>275</v>
      </c>
      <c r="C254" s="44" t="s">
        <v>276</v>
      </c>
      <c r="D254" s="34" t="s">
        <v>277</v>
      </c>
      <c r="E254" s="45">
        <v>46163</v>
      </c>
      <c r="F254" s="45">
        <v>46169</v>
      </c>
      <c r="G254" s="46">
        <f ca="1">SUMPRODUCT(--(WEEKDAY(ROW(INDIRECT($E249:$E280&amp;":"&amp;$F249:$F275)),1)=1))</f>
        <v>1</v>
      </c>
      <c r="H254" s="46">
        <f ca="1">SUMPRODUCT(--(WEEKDAY(ROW(INDIRECT($E249:$E280&amp;":"&amp;$F249:$F275)),1)=2))</f>
        <v>1</v>
      </c>
      <c r="I254" s="46">
        <f ca="1">SUMPRODUCT(--(WEEKDAY(ROW(INDIRECT($E249:$E280&amp;":"&amp;$F249:$F275)),1)=3))</f>
        <v>1</v>
      </c>
      <c r="J254" s="46">
        <f ca="1">SUMPRODUCT(--(WEEKDAY(ROW(INDIRECT($E249:$E280&amp;":"&amp;$F249:$F275)),1)=4))</f>
        <v>1</v>
      </c>
      <c r="K254" s="46">
        <f ca="1">SUMPRODUCT(--(WEEKDAY(ROW(INDIRECT($E249:$E280&amp;":"&amp;$F249:$F275)),1)=5))</f>
        <v>1</v>
      </c>
      <c r="L254" s="46">
        <f ca="1">SUMPRODUCT(--(WEEKDAY(ROW(INDIRECT($E249:$E280&amp;":"&amp;$F249:$F275)),1)=6))</f>
        <v>1</v>
      </c>
      <c r="M254" s="46">
        <f ca="1">SUMPRODUCT(--(WEEKDAY(ROW(INDIRECT($E249:$E280&amp;":"&amp;$F249:$F275)),1)=7))</f>
        <v>1</v>
      </c>
      <c r="N254" s="46">
        <f t="shared" ca="1" si="89"/>
        <v>6</v>
      </c>
      <c r="O254" s="47">
        <f t="shared" si="90"/>
        <v>7</v>
      </c>
      <c r="P254" s="47"/>
      <c r="Q254" s="48"/>
      <c r="R254" s="45"/>
      <c r="S254" s="59"/>
      <c r="T254" s="9" t="s">
        <v>97</v>
      </c>
      <c r="U254" s="19" t="s">
        <v>98</v>
      </c>
      <c r="V254" s="67"/>
      <c r="W254" s="8">
        <v>-1</v>
      </c>
    </row>
    <row r="255" spans="1:25" ht="31.5" customHeight="1" x14ac:dyDescent="0.25">
      <c r="A255" s="34"/>
      <c r="B255" s="43"/>
      <c r="C255" s="44"/>
      <c r="D255" s="34"/>
      <c r="E255" s="45"/>
      <c r="F255" s="45"/>
      <c r="G255" s="46" t="e">
        <f ca="1">SUMPRODUCT(--(WEEKDAY(ROW(INDIRECT($E250:$E281&amp;":"&amp;$F250:$F276)),1)=1))</f>
        <v>#REF!</v>
      </c>
      <c r="H255" s="46" t="e">
        <f ca="1">SUMPRODUCT(--(WEEKDAY(ROW(INDIRECT($E250:$E281&amp;":"&amp;$F250:$F276)),1)=2))</f>
        <v>#REF!</v>
      </c>
      <c r="I255" s="46" t="e">
        <f ca="1">SUMPRODUCT(--(WEEKDAY(ROW(INDIRECT($E250:$E281&amp;":"&amp;$F250:$F276)),1)=3))</f>
        <v>#REF!</v>
      </c>
      <c r="J255" s="46" t="e">
        <f ca="1">SUMPRODUCT(--(WEEKDAY(ROW(INDIRECT($E250:$E281&amp;":"&amp;$F250:$F276)),1)=4))</f>
        <v>#REF!</v>
      </c>
      <c r="K255" s="46" t="e">
        <f ca="1">SUMPRODUCT(--(WEEKDAY(ROW(INDIRECT($E250:$E281&amp;":"&amp;$F250:$F276)),1)=5))</f>
        <v>#REF!</v>
      </c>
      <c r="L255" s="46" t="e">
        <f ca="1">SUMPRODUCT(--(WEEKDAY(ROW(INDIRECT($E250:$E281&amp;":"&amp;$F250:$F276)),1)=6))</f>
        <v>#REF!</v>
      </c>
      <c r="M255" s="46" t="e">
        <f ca="1">SUMPRODUCT(--(WEEKDAY(ROW(INDIRECT($E250:$E281&amp;":"&amp;$F250:$F276)),1)=7))</f>
        <v>#REF!</v>
      </c>
      <c r="N255" s="46" t="e">
        <f t="shared" ca="1" si="89"/>
        <v>#REF!</v>
      </c>
      <c r="O255" s="47">
        <f t="shared" si="90"/>
        <v>1</v>
      </c>
      <c r="P255" s="47"/>
      <c r="Q255" s="48"/>
      <c r="R255" s="45"/>
      <c r="S255" s="59"/>
      <c r="T255" s="9"/>
      <c r="U255" s="19"/>
      <c r="V255" s="67"/>
      <c r="W255" s="8"/>
    </row>
    <row r="256" spans="1:25" ht="31.5" customHeight="1" x14ac:dyDescent="0.25">
      <c r="A256" s="34"/>
      <c r="B256" s="43"/>
      <c r="C256" s="44"/>
      <c r="D256" s="34"/>
      <c r="E256" s="45"/>
      <c r="F256" s="45"/>
      <c r="G256" s="46" t="e">
        <f ca="1">SUMPRODUCT(--(WEEKDAY(ROW(INDIRECT($E251:$E282&amp;":"&amp;$F251:$F277)),1)=1))</f>
        <v>#REF!</v>
      </c>
      <c r="H256" s="46" t="e">
        <f ca="1">SUMPRODUCT(--(WEEKDAY(ROW(INDIRECT($E251:$E282&amp;":"&amp;$F251:$F277)),1)=2))</f>
        <v>#REF!</v>
      </c>
      <c r="I256" s="46" t="e">
        <f ca="1">SUMPRODUCT(--(WEEKDAY(ROW(INDIRECT($E251:$E282&amp;":"&amp;$F251:$F277)),1)=3))</f>
        <v>#REF!</v>
      </c>
      <c r="J256" s="46" t="e">
        <f ca="1">SUMPRODUCT(--(WEEKDAY(ROW(INDIRECT($E251:$E282&amp;":"&amp;$F251:$F277)),1)=4))</f>
        <v>#REF!</v>
      </c>
      <c r="K256" s="46" t="e">
        <f ca="1">SUMPRODUCT(--(WEEKDAY(ROW(INDIRECT($E251:$E282&amp;":"&amp;$F251:$F277)),1)=5))</f>
        <v>#REF!</v>
      </c>
      <c r="L256" s="46" t="e">
        <f ca="1">SUMPRODUCT(--(WEEKDAY(ROW(INDIRECT($E251:$E282&amp;":"&amp;$F251:$F277)),1)=6))</f>
        <v>#REF!</v>
      </c>
      <c r="M256" s="46" t="e">
        <f ca="1">SUMPRODUCT(--(WEEKDAY(ROW(INDIRECT($E251:$E282&amp;":"&amp;$F251:$F277)),1)=7))</f>
        <v>#REF!</v>
      </c>
      <c r="N256" s="46" t="e">
        <f t="shared" ca="1" si="89"/>
        <v>#REF!</v>
      </c>
      <c r="O256" s="47">
        <f t="shared" si="90"/>
        <v>1</v>
      </c>
      <c r="P256" s="47"/>
      <c r="Q256" s="48"/>
      <c r="R256" s="45"/>
      <c r="S256" s="59"/>
      <c r="T256" s="9"/>
      <c r="U256" s="19"/>
      <c r="V256" s="67"/>
      <c r="W256" s="8"/>
    </row>
    <row r="257" spans="1:23" ht="31.5" customHeight="1" x14ac:dyDescent="0.25">
      <c r="A257" s="34"/>
      <c r="B257" s="43"/>
      <c r="C257" s="44"/>
      <c r="D257" s="34"/>
      <c r="E257" s="45"/>
      <c r="F257" s="45"/>
      <c r="G257" s="46" t="e">
        <f t="shared" ref="G257:G266" ca="1" si="91">SUMPRODUCT(--(WEEKDAY(ROW(INDIRECT($E252:$E283&amp;":"&amp;$F252:$F278)),1)=1))</f>
        <v>#REF!</v>
      </c>
      <c r="H257" s="46" t="e">
        <f t="shared" ref="H257:H266" ca="1" si="92">SUMPRODUCT(--(WEEKDAY(ROW(INDIRECT($E252:$E283&amp;":"&amp;$F252:$F278)),1)=2))</f>
        <v>#REF!</v>
      </c>
      <c r="I257" s="46" t="e">
        <f t="shared" ref="I257:I266" ca="1" si="93">SUMPRODUCT(--(WEEKDAY(ROW(INDIRECT($E252:$E283&amp;":"&amp;$F252:$F278)),1)=3))</f>
        <v>#REF!</v>
      </c>
      <c r="J257" s="46" t="e">
        <f t="shared" ref="J257:J266" ca="1" si="94">SUMPRODUCT(--(WEEKDAY(ROW(INDIRECT($E252:$E283&amp;":"&amp;$F252:$F278)),1)=4))</f>
        <v>#REF!</v>
      </c>
      <c r="K257" s="46" t="e">
        <f t="shared" ref="K257:K266" ca="1" si="95">SUMPRODUCT(--(WEEKDAY(ROW(INDIRECT($E252:$E283&amp;":"&amp;$F252:$F278)),1)=5))</f>
        <v>#REF!</v>
      </c>
      <c r="L257" s="46" t="e">
        <f t="shared" ref="L257:L266" ca="1" si="96">SUMPRODUCT(--(WEEKDAY(ROW(INDIRECT($E252:$E283&amp;":"&amp;$F252:$F278)),1)=6))</f>
        <v>#REF!</v>
      </c>
      <c r="M257" s="46" t="e">
        <f t="shared" ref="M257:M266" ca="1" si="97">SUMPRODUCT(--(WEEKDAY(ROW(INDIRECT($E252:$E283&amp;":"&amp;$F252:$F278)),1)=7))</f>
        <v>#REF!</v>
      </c>
      <c r="N257" s="46" t="e">
        <f t="shared" ref="N257:N266" ca="1" si="98">SUM(H257:M257)</f>
        <v>#REF!</v>
      </c>
      <c r="O257" s="47">
        <f t="shared" ref="O257:O266" si="99">F257-E257+1</f>
        <v>1</v>
      </c>
      <c r="P257" s="47"/>
      <c r="Q257" s="48"/>
      <c r="R257" s="45"/>
      <c r="S257" s="59"/>
      <c r="T257" s="9"/>
      <c r="U257" s="19"/>
      <c r="V257" s="67"/>
      <c r="W257" s="8"/>
    </row>
    <row r="258" spans="1:23" ht="31.5" customHeight="1" x14ac:dyDescent="0.25">
      <c r="A258" s="34"/>
      <c r="B258" s="43"/>
      <c r="C258" s="44"/>
      <c r="D258" s="34"/>
      <c r="E258" s="45"/>
      <c r="F258" s="45"/>
      <c r="G258" s="46" t="e">
        <f t="shared" ca="1" si="91"/>
        <v>#REF!</v>
      </c>
      <c r="H258" s="46" t="e">
        <f t="shared" ca="1" si="92"/>
        <v>#REF!</v>
      </c>
      <c r="I258" s="46" t="e">
        <f t="shared" ca="1" si="93"/>
        <v>#REF!</v>
      </c>
      <c r="J258" s="46" t="e">
        <f t="shared" ca="1" si="94"/>
        <v>#REF!</v>
      </c>
      <c r="K258" s="46" t="e">
        <f t="shared" ca="1" si="95"/>
        <v>#REF!</v>
      </c>
      <c r="L258" s="46" t="e">
        <f t="shared" ca="1" si="96"/>
        <v>#REF!</v>
      </c>
      <c r="M258" s="46" t="e">
        <f t="shared" ca="1" si="97"/>
        <v>#REF!</v>
      </c>
      <c r="N258" s="46" t="e">
        <f t="shared" ca="1" si="98"/>
        <v>#REF!</v>
      </c>
      <c r="O258" s="47">
        <f t="shared" si="99"/>
        <v>1</v>
      </c>
      <c r="P258" s="47"/>
      <c r="Q258" s="48"/>
      <c r="R258" s="45"/>
      <c r="S258" s="59"/>
      <c r="T258" s="9"/>
      <c r="U258" s="19"/>
      <c r="V258" s="67"/>
      <c r="W258" s="8"/>
    </row>
    <row r="259" spans="1:23" ht="31.5" customHeight="1" x14ac:dyDescent="0.25">
      <c r="A259" s="34"/>
      <c r="B259" s="43"/>
      <c r="C259" s="44"/>
      <c r="D259" s="34"/>
      <c r="E259" s="45"/>
      <c r="F259" s="45"/>
      <c r="G259" s="46" t="e">
        <f t="shared" ca="1" si="91"/>
        <v>#REF!</v>
      </c>
      <c r="H259" s="46" t="e">
        <f t="shared" ca="1" si="92"/>
        <v>#REF!</v>
      </c>
      <c r="I259" s="46" t="e">
        <f t="shared" ca="1" si="93"/>
        <v>#REF!</v>
      </c>
      <c r="J259" s="46" t="e">
        <f t="shared" ca="1" si="94"/>
        <v>#REF!</v>
      </c>
      <c r="K259" s="46" t="e">
        <f t="shared" ca="1" si="95"/>
        <v>#REF!</v>
      </c>
      <c r="L259" s="46" t="e">
        <f t="shared" ca="1" si="96"/>
        <v>#REF!</v>
      </c>
      <c r="M259" s="46" t="e">
        <f t="shared" ca="1" si="97"/>
        <v>#REF!</v>
      </c>
      <c r="N259" s="46" t="e">
        <f t="shared" ca="1" si="98"/>
        <v>#REF!</v>
      </c>
      <c r="O259" s="47">
        <f t="shared" si="99"/>
        <v>1</v>
      </c>
      <c r="P259" s="47"/>
      <c r="Q259" s="48"/>
      <c r="R259" s="45"/>
      <c r="S259" s="59"/>
      <c r="T259" s="9"/>
      <c r="U259" s="19"/>
      <c r="V259" s="67"/>
      <c r="W259" s="8"/>
    </row>
    <row r="260" spans="1:23" ht="31.5" customHeight="1" x14ac:dyDescent="0.25">
      <c r="A260" s="34"/>
      <c r="B260" s="43"/>
      <c r="C260" s="44"/>
      <c r="D260" s="34"/>
      <c r="E260" s="45"/>
      <c r="F260" s="45"/>
      <c r="G260" s="46" t="e">
        <f t="shared" ca="1" si="91"/>
        <v>#REF!</v>
      </c>
      <c r="H260" s="46" t="e">
        <f t="shared" ca="1" si="92"/>
        <v>#REF!</v>
      </c>
      <c r="I260" s="46" t="e">
        <f t="shared" ca="1" si="93"/>
        <v>#REF!</v>
      </c>
      <c r="J260" s="46" t="e">
        <f t="shared" ca="1" si="94"/>
        <v>#REF!</v>
      </c>
      <c r="K260" s="46" t="e">
        <f t="shared" ca="1" si="95"/>
        <v>#REF!</v>
      </c>
      <c r="L260" s="46" t="e">
        <f t="shared" ca="1" si="96"/>
        <v>#REF!</v>
      </c>
      <c r="M260" s="46" t="e">
        <f t="shared" ca="1" si="97"/>
        <v>#REF!</v>
      </c>
      <c r="N260" s="46" t="e">
        <f t="shared" ca="1" si="98"/>
        <v>#REF!</v>
      </c>
      <c r="O260" s="47">
        <f t="shared" si="99"/>
        <v>1</v>
      </c>
      <c r="P260" s="47"/>
      <c r="Q260" s="48"/>
      <c r="R260" s="45"/>
      <c r="S260" s="59"/>
      <c r="T260" s="9"/>
      <c r="U260" s="19"/>
      <c r="V260" s="67"/>
      <c r="W260" s="8"/>
    </row>
    <row r="261" spans="1:23" ht="31.5" customHeight="1" x14ac:dyDescent="0.25">
      <c r="A261" s="34"/>
      <c r="B261" s="43"/>
      <c r="C261" s="44"/>
      <c r="D261" s="34"/>
      <c r="E261" s="45"/>
      <c r="F261" s="45"/>
      <c r="G261" s="46" t="e">
        <f t="shared" ca="1" si="91"/>
        <v>#REF!</v>
      </c>
      <c r="H261" s="46" t="e">
        <f t="shared" ca="1" si="92"/>
        <v>#REF!</v>
      </c>
      <c r="I261" s="46" t="e">
        <f t="shared" ca="1" si="93"/>
        <v>#REF!</v>
      </c>
      <c r="J261" s="46" t="e">
        <f t="shared" ca="1" si="94"/>
        <v>#REF!</v>
      </c>
      <c r="K261" s="46" t="e">
        <f t="shared" ca="1" si="95"/>
        <v>#REF!</v>
      </c>
      <c r="L261" s="46" t="e">
        <f t="shared" ca="1" si="96"/>
        <v>#REF!</v>
      </c>
      <c r="M261" s="46" t="e">
        <f t="shared" ca="1" si="97"/>
        <v>#REF!</v>
      </c>
      <c r="N261" s="46" t="e">
        <f t="shared" ca="1" si="98"/>
        <v>#REF!</v>
      </c>
      <c r="O261" s="47">
        <f t="shared" si="99"/>
        <v>1</v>
      </c>
      <c r="P261" s="47"/>
      <c r="Q261" s="48"/>
      <c r="R261" s="45"/>
      <c r="S261" s="59"/>
      <c r="T261" s="9"/>
      <c r="U261" s="19"/>
      <c r="V261" s="67"/>
      <c r="W261" s="8"/>
    </row>
    <row r="262" spans="1:23" ht="31.5" customHeight="1" x14ac:dyDescent="0.25">
      <c r="A262" s="34"/>
      <c r="B262" s="43"/>
      <c r="C262" s="44"/>
      <c r="D262" s="34"/>
      <c r="E262" s="45"/>
      <c r="F262" s="45"/>
      <c r="G262" s="46" t="e">
        <f t="shared" ca="1" si="91"/>
        <v>#REF!</v>
      </c>
      <c r="H262" s="46" t="e">
        <f t="shared" ca="1" si="92"/>
        <v>#REF!</v>
      </c>
      <c r="I262" s="46" t="e">
        <f t="shared" ca="1" si="93"/>
        <v>#REF!</v>
      </c>
      <c r="J262" s="46" t="e">
        <f t="shared" ca="1" si="94"/>
        <v>#REF!</v>
      </c>
      <c r="K262" s="46" t="e">
        <f t="shared" ca="1" si="95"/>
        <v>#REF!</v>
      </c>
      <c r="L262" s="46" t="e">
        <f t="shared" ca="1" si="96"/>
        <v>#REF!</v>
      </c>
      <c r="M262" s="46" t="e">
        <f t="shared" ca="1" si="97"/>
        <v>#REF!</v>
      </c>
      <c r="N262" s="46" t="e">
        <f t="shared" ca="1" si="98"/>
        <v>#REF!</v>
      </c>
      <c r="O262" s="47">
        <f t="shared" si="99"/>
        <v>1</v>
      </c>
      <c r="P262" s="47"/>
      <c r="Q262" s="48"/>
      <c r="R262" s="45"/>
      <c r="S262" s="59"/>
      <c r="T262" s="9"/>
      <c r="U262" s="19"/>
      <c r="V262" s="67"/>
      <c r="W262" s="8"/>
    </row>
    <row r="263" spans="1:23" ht="31.5" customHeight="1" x14ac:dyDescent="0.25">
      <c r="A263" s="34"/>
      <c r="B263" s="43"/>
      <c r="C263" s="44"/>
      <c r="D263" s="34"/>
      <c r="E263" s="45"/>
      <c r="F263" s="45"/>
      <c r="G263" s="46" t="e">
        <f t="shared" ca="1" si="91"/>
        <v>#REF!</v>
      </c>
      <c r="H263" s="46" t="e">
        <f t="shared" ca="1" si="92"/>
        <v>#REF!</v>
      </c>
      <c r="I263" s="46" t="e">
        <f t="shared" ca="1" si="93"/>
        <v>#REF!</v>
      </c>
      <c r="J263" s="46" t="e">
        <f t="shared" ca="1" si="94"/>
        <v>#REF!</v>
      </c>
      <c r="K263" s="46" t="e">
        <f t="shared" ca="1" si="95"/>
        <v>#REF!</v>
      </c>
      <c r="L263" s="46" t="e">
        <f t="shared" ca="1" si="96"/>
        <v>#REF!</v>
      </c>
      <c r="M263" s="46" t="e">
        <f t="shared" ca="1" si="97"/>
        <v>#REF!</v>
      </c>
      <c r="N263" s="46" t="e">
        <f t="shared" ca="1" si="98"/>
        <v>#REF!</v>
      </c>
      <c r="O263" s="47">
        <f t="shared" si="99"/>
        <v>1</v>
      </c>
      <c r="P263" s="47"/>
      <c r="Q263" s="48"/>
      <c r="R263" s="45"/>
      <c r="S263" s="59"/>
      <c r="T263" s="9"/>
      <c r="U263" s="19"/>
      <c r="V263" s="67"/>
      <c r="W263" s="8"/>
    </row>
    <row r="264" spans="1:23" ht="31.5" customHeight="1" x14ac:dyDescent="0.25">
      <c r="A264" s="34"/>
      <c r="B264" s="43"/>
      <c r="C264" s="44"/>
      <c r="D264" s="34"/>
      <c r="E264" s="45"/>
      <c r="F264" s="45"/>
      <c r="G264" s="46" t="e">
        <f t="shared" ca="1" si="91"/>
        <v>#REF!</v>
      </c>
      <c r="H264" s="46" t="e">
        <f t="shared" ca="1" si="92"/>
        <v>#REF!</v>
      </c>
      <c r="I264" s="46" t="e">
        <f t="shared" ca="1" si="93"/>
        <v>#REF!</v>
      </c>
      <c r="J264" s="46" t="e">
        <f t="shared" ca="1" si="94"/>
        <v>#REF!</v>
      </c>
      <c r="K264" s="46" t="e">
        <f t="shared" ca="1" si="95"/>
        <v>#REF!</v>
      </c>
      <c r="L264" s="46" t="e">
        <f t="shared" ca="1" si="96"/>
        <v>#REF!</v>
      </c>
      <c r="M264" s="46" t="e">
        <f t="shared" ca="1" si="97"/>
        <v>#REF!</v>
      </c>
      <c r="N264" s="46" t="e">
        <f t="shared" ca="1" si="98"/>
        <v>#REF!</v>
      </c>
      <c r="O264" s="47">
        <f t="shared" si="99"/>
        <v>1</v>
      </c>
      <c r="P264" s="47"/>
      <c r="Q264" s="48"/>
      <c r="R264" s="45"/>
      <c r="S264" s="59"/>
      <c r="T264" s="9"/>
      <c r="U264" s="19"/>
      <c r="V264" s="67"/>
      <c r="W264" s="8"/>
    </row>
    <row r="265" spans="1:23" ht="31.5" customHeight="1" x14ac:dyDescent="0.25">
      <c r="A265" s="34"/>
      <c r="B265" s="43"/>
      <c r="C265" s="44"/>
      <c r="D265" s="34"/>
      <c r="E265" s="45"/>
      <c r="F265" s="45"/>
      <c r="G265" s="46" t="e">
        <f t="shared" ca="1" si="91"/>
        <v>#REF!</v>
      </c>
      <c r="H265" s="46" t="e">
        <f t="shared" ca="1" si="92"/>
        <v>#REF!</v>
      </c>
      <c r="I265" s="46" t="e">
        <f t="shared" ca="1" si="93"/>
        <v>#REF!</v>
      </c>
      <c r="J265" s="46" t="e">
        <f t="shared" ca="1" si="94"/>
        <v>#REF!</v>
      </c>
      <c r="K265" s="46" t="e">
        <f t="shared" ca="1" si="95"/>
        <v>#REF!</v>
      </c>
      <c r="L265" s="46" t="e">
        <f t="shared" ca="1" si="96"/>
        <v>#REF!</v>
      </c>
      <c r="M265" s="46" t="e">
        <f t="shared" ca="1" si="97"/>
        <v>#REF!</v>
      </c>
      <c r="N265" s="46" t="e">
        <f t="shared" ca="1" si="98"/>
        <v>#REF!</v>
      </c>
      <c r="O265" s="47">
        <f t="shared" si="99"/>
        <v>1</v>
      </c>
      <c r="P265" s="47"/>
      <c r="Q265" s="48"/>
      <c r="R265" s="45"/>
      <c r="S265" s="59"/>
      <c r="T265" s="9"/>
      <c r="U265" s="19"/>
      <c r="V265" s="67"/>
      <c r="W265" s="8"/>
    </row>
    <row r="266" spans="1:23" ht="31.5" customHeight="1" x14ac:dyDescent="0.25">
      <c r="A266" s="34"/>
      <c r="B266" s="43"/>
      <c r="C266" s="44"/>
      <c r="D266" s="34"/>
      <c r="E266" s="45"/>
      <c r="F266" s="45"/>
      <c r="G266" s="46" t="e">
        <f t="shared" ca="1" si="91"/>
        <v>#REF!</v>
      </c>
      <c r="H266" s="46" t="e">
        <f t="shared" ca="1" si="92"/>
        <v>#REF!</v>
      </c>
      <c r="I266" s="46" t="e">
        <f t="shared" ca="1" si="93"/>
        <v>#REF!</v>
      </c>
      <c r="J266" s="46" t="e">
        <f t="shared" ca="1" si="94"/>
        <v>#REF!</v>
      </c>
      <c r="K266" s="46" t="e">
        <f t="shared" ca="1" si="95"/>
        <v>#REF!</v>
      </c>
      <c r="L266" s="46" t="e">
        <f t="shared" ca="1" si="96"/>
        <v>#REF!</v>
      </c>
      <c r="M266" s="46" t="e">
        <f t="shared" ca="1" si="97"/>
        <v>#REF!</v>
      </c>
      <c r="N266" s="46" t="e">
        <f t="shared" ca="1" si="98"/>
        <v>#REF!</v>
      </c>
      <c r="O266" s="47">
        <f t="shared" si="99"/>
        <v>1</v>
      </c>
      <c r="P266" s="47"/>
      <c r="Q266" s="48"/>
      <c r="R266" s="45"/>
      <c r="S266" s="59"/>
      <c r="T266" s="9"/>
      <c r="U266" s="19"/>
      <c r="V266" s="67"/>
      <c r="W266" s="8"/>
    </row>
    <row r="267" spans="1:23" ht="31.5" customHeight="1" x14ac:dyDescent="0.25">
      <c r="A267" s="142" t="s">
        <v>62</v>
      </c>
      <c r="B267" s="142"/>
      <c r="C267" s="142"/>
      <c r="D267" s="142"/>
      <c r="E267" s="142"/>
      <c r="F267" s="142"/>
      <c r="G267" s="42"/>
      <c r="H267" s="42"/>
      <c r="I267" s="42"/>
      <c r="J267" s="42"/>
      <c r="K267" s="42"/>
      <c r="L267" s="42"/>
      <c r="M267" s="42"/>
      <c r="N267" s="42"/>
      <c r="O267" s="52">
        <v>10</v>
      </c>
      <c r="P267" s="52"/>
      <c r="Q267" s="48"/>
      <c r="R267" s="45"/>
      <c r="S267" s="81"/>
      <c r="T267" s="9" t="s">
        <v>97</v>
      </c>
      <c r="U267" s="19" t="s">
        <v>98</v>
      </c>
      <c r="V267" s="67"/>
      <c r="W267" s="75"/>
    </row>
    <row r="268" spans="1:23" ht="15.75" customHeight="1" x14ac:dyDescent="0.25">
      <c r="A268" s="20"/>
      <c r="B268" s="143" t="s">
        <v>99</v>
      </c>
      <c r="C268" s="143"/>
      <c r="D268" s="143"/>
      <c r="E268" s="143"/>
      <c r="F268" s="143"/>
      <c r="G268" s="143"/>
      <c r="H268" s="143"/>
      <c r="I268" s="143"/>
      <c r="J268" s="143"/>
      <c r="K268" s="143"/>
      <c r="L268" s="143"/>
      <c r="M268" s="143"/>
      <c r="N268" s="143"/>
      <c r="O268" s="143"/>
      <c r="P268" s="143"/>
      <c r="Q268" s="143"/>
      <c r="R268" s="143"/>
      <c r="S268" s="95"/>
      <c r="T268" s="96"/>
      <c r="U268" s="96"/>
    </row>
    <row r="269" spans="1:23" x14ac:dyDescent="0.25">
      <c r="A269" s="20"/>
      <c r="B269" s="6"/>
      <c r="C269" s="9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95"/>
      <c r="T269" s="96"/>
      <c r="U269" s="96"/>
    </row>
    <row r="270" spans="1:23" x14ac:dyDescent="0.25">
      <c r="A270" s="4"/>
      <c r="C270" s="79"/>
      <c r="D270" s="4"/>
      <c r="E270" s="97"/>
      <c r="F270" s="97"/>
      <c r="G270" s="97"/>
      <c r="H270" s="97"/>
      <c r="I270" s="97"/>
      <c r="J270" s="97"/>
      <c r="K270" s="97"/>
      <c r="L270" s="97"/>
      <c r="M270" s="97"/>
      <c r="N270" s="97"/>
      <c r="O270" s="140" t="s">
        <v>100</v>
      </c>
      <c r="P270" s="140"/>
      <c r="Q270" s="140"/>
      <c r="R270" s="140"/>
      <c r="S270" s="140"/>
      <c r="T270" s="98"/>
      <c r="U270" s="99"/>
    </row>
    <row r="271" spans="1:23" x14ac:dyDescent="0.25">
      <c r="A271" s="4"/>
      <c r="B271" s="86"/>
      <c r="C271" s="79"/>
      <c r="D271" s="4"/>
      <c r="E271" s="97"/>
      <c r="F271" s="97"/>
      <c r="G271" s="97"/>
      <c r="H271" s="97"/>
      <c r="I271" s="97"/>
      <c r="J271" s="97"/>
      <c r="K271" s="97"/>
      <c r="L271" s="97"/>
      <c r="M271" s="97"/>
      <c r="N271" s="97"/>
      <c r="O271" s="144" t="s">
        <v>101</v>
      </c>
      <c r="P271" s="144"/>
      <c r="Q271" s="144"/>
      <c r="R271" s="144"/>
      <c r="S271" s="144"/>
      <c r="T271" s="31"/>
      <c r="U271" s="7"/>
    </row>
    <row r="272" spans="1:23" x14ac:dyDescent="0.25">
      <c r="O272" s="140" t="s">
        <v>102</v>
      </c>
      <c r="P272" s="140"/>
      <c r="Q272" s="140"/>
      <c r="R272" s="140"/>
      <c r="S272" s="140"/>
      <c r="T272" s="98"/>
      <c r="U272" s="99"/>
    </row>
    <row r="273" spans="1:34" x14ac:dyDescent="0.25">
      <c r="F273" s="100"/>
      <c r="G273" s="100"/>
      <c r="H273" s="100"/>
      <c r="I273" s="100"/>
      <c r="J273" s="100"/>
      <c r="K273" s="100"/>
      <c r="L273" s="100"/>
      <c r="M273" s="100"/>
      <c r="N273" s="100"/>
      <c r="O273" s="101"/>
      <c r="P273" s="101"/>
      <c r="Q273" s="102"/>
      <c r="R273" s="101"/>
      <c r="S273" s="101"/>
      <c r="T273" s="98"/>
      <c r="U273" s="99"/>
    </row>
    <row r="274" spans="1:34" x14ac:dyDescent="0.25">
      <c r="O274" s="100"/>
      <c r="P274" s="100"/>
      <c r="Q274" s="103"/>
    </row>
    <row r="275" spans="1:34" x14ac:dyDescent="0.25">
      <c r="O275" s="100"/>
      <c r="P275" s="100"/>
      <c r="Q275" s="103"/>
    </row>
    <row r="276" spans="1:34" x14ac:dyDescent="0.25">
      <c r="O276" s="100"/>
      <c r="P276" s="100"/>
      <c r="Q276" s="103"/>
    </row>
    <row r="277" spans="1:34" x14ac:dyDescent="0.25">
      <c r="O277" s="100"/>
      <c r="P277" s="100"/>
      <c r="Q277" s="103"/>
    </row>
    <row r="278" spans="1:34" ht="24.75" customHeight="1" x14ac:dyDescent="0.25">
      <c r="O278" s="141" t="s">
        <v>103</v>
      </c>
      <c r="P278" s="141"/>
      <c r="Q278" s="141"/>
      <c r="R278" s="141"/>
      <c r="S278" s="141"/>
      <c r="T278" s="104"/>
      <c r="U278" s="19"/>
    </row>
    <row r="279" spans="1:34" x14ac:dyDescent="0.25">
      <c r="U279" s="19"/>
    </row>
    <row r="280" spans="1:34" x14ac:dyDescent="0.25">
      <c r="U280" s="19"/>
    </row>
    <row r="281" spans="1:34" x14ac:dyDescent="0.25">
      <c r="U281" s="19"/>
    </row>
    <row r="282" spans="1:34" s="75" customFormat="1" x14ac:dyDescent="0.25">
      <c r="A282" s="9"/>
      <c r="B282" s="8"/>
      <c r="C282" s="16"/>
      <c r="D282" s="17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7"/>
      <c r="P282" s="17"/>
      <c r="Q282" s="19"/>
      <c r="R282" s="20"/>
      <c r="S282" s="6"/>
      <c r="T282" s="21"/>
      <c r="U282" s="19"/>
      <c r="V282" s="8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</row>
  </sheetData>
  <autoFilter ref="A14:AH268"/>
  <mergeCells count="37">
    <mergeCell ref="O272:S272"/>
    <mergeCell ref="O278:S278"/>
    <mergeCell ref="A248:F248"/>
    <mergeCell ref="C249:E249"/>
    <mergeCell ref="A267:F267"/>
    <mergeCell ref="B268:R268"/>
    <mergeCell ref="O270:S270"/>
    <mergeCell ref="O271:S271"/>
    <mergeCell ref="C244:Q244"/>
    <mergeCell ref="A87:F87"/>
    <mergeCell ref="A114:F114"/>
    <mergeCell ref="A141:F141"/>
    <mergeCell ref="A158:F158"/>
    <mergeCell ref="A184:F184"/>
    <mergeCell ref="A213:F213"/>
    <mergeCell ref="C185:AB185"/>
    <mergeCell ref="C214:Q214"/>
    <mergeCell ref="C215:F215"/>
    <mergeCell ref="A226:F226"/>
    <mergeCell ref="C227:F227"/>
    <mergeCell ref="A243:F243"/>
    <mergeCell ref="A5:S5"/>
    <mergeCell ref="A6:S6"/>
    <mergeCell ref="A7:S7"/>
    <mergeCell ref="A8:S8"/>
    <mergeCell ref="A12:A14"/>
    <mergeCell ref="B12:B14"/>
    <mergeCell ref="C12:C14"/>
    <mergeCell ref="D12:D14"/>
    <mergeCell ref="E12:O12"/>
    <mergeCell ref="P12:P14"/>
    <mergeCell ref="Q12:Q14"/>
    <mergeCell ref="R12:R13"/>
    <mergeCell ref="S12:S14"/>
    <mergeCell ref="E13:E14"/>
    <mergeCell ref="F13:F14"/>
    <mergeCell ref="O13:O14"/>
  </mergeCells>
  <conditionalFormatting sqref="A88">
    <cfRule type="duplicateValues" dxfId="33" priority="25"/>
  </conditionalFormatting>
  <conditionalFormatting sqref="A88">
    <cfRule type="duplicateValues" dxfId="32" priority="26"/>
  </conditionalFormatting>
  <conditionalFormatting sqref="A88">
    <cfRule type="duplicateValues" dxfId="31" priority="27"/>
  </conditionalFormatting>
  <conditionalFormatting sqref="A88">
    <cfRule type="duplicateValues" dxfId="30" priority="28"/>
  </conditionalFormatting>
  <conditionalFormatting sqref="A88">
    <cfRule type="duplicateValues" dxfId="29" priority="29"/>
    <cfRule type="duplicateValues" dxfId="28" priority="30"/>
  </conditionalFormatting>
  <conditionalFormatting sqref="A88">
    <cfRule type="duplicateValues" dxfId="27" priority="31"/>
  </conditionalFormatting>
  <conditionalFormatting sqref="A88">
    <cfRule type="duplicateValues" dxfId="26" priority="32"/>
  </conditionalFormatting>
  <conditionalFormatting sqref="A88">
    <cfRule type="duplicateValues" dxfId="25" priority="33"/>
  </conditionalFormatting>
  <conditionalFormatting sqref="A88">
    <cfRule type="duplicateValues" dxfId="24" priority="24"/>
  </conditionalFormatting>
  <conditionalFormatting sqref="C215">
    <cfRule type="duplicateValues" dxfId="23" priority="23"/>
  </conditionalFormatting>
  <conditionalFormatting sqref="D214">
    <cfRule type="duplicateValues" dxfId="22" priority="34"/>
  </conditionalFormatting>
  <conditionalFormatting sqref="C227">
    <cfRule type="duplicateValues" dxfId="21" priority="22"/>
  </conditionalFormatting>
  <conditionalFormatting sqref="B249:B251 B1:B46 B192:B197 B226:B228 B254:B256 B87:B92 B113:B121 B140:B143 B154:B165 B183:B184 B211:B216 B267:B1048576 B243">
    <cfRule type="duplicateValues" dxfId="20" priority="21"/>
  </conditionalFormatting>
  <conditionalFormatting sqref="B248 B244:B245">
    <cfRule type="duplicateValues" dxfId="19" priority="35"/>
  </conditionalFormatting>
  <conditionalFormatting sqref="H185:AA185">
    <cfRule type="containsText" dxfId="18" priority="16" operator="containsText" text="H">
      <formula>NOT(ISERROR(SEARCH("H",H185)))</formula>
    </cfRule>
    <cfRule type="containsText" dxfId="17" priority="17" operator="containsText" text="&quot;H&quot;">
      <formula>NOT(ISERROR(SEARCH("""H""",H185)))</formula>
    </cfRule>
    <cfRule type="containsText" dxfId="16" priority="18" operator="containsText" text="S">
      <formula>NOT(ISERROR(SEARCH("S",H185)))</formula>
    </cfRule>
    <cfRule type="containsText" dxfId="15" priority="19" operator="containsText" text="0">
      <formula>NOT(ISERROR(SEARCH("0",H185)))</formula>
    </cfRule>
  </conditionalFormatting>
  <conditionalFormatting sqref="B225">
    <cfRule type="duplicateValues" dxfId="14" priority="15"/>
  </conditionalFormatting>
  <conditionalFormatting sqref="B185:B191">
    <cfRule type="duplicateValues" dxfId="13" priority="40"/>
  </conditionalFormatting>
  <conditionalFormatting sqref="B93:B99 B110:B112">
    <cfRule type="duplicateValues" dxfId="12" priority="12"/>
  </conditionalFormatting>
  <conditionalFormatting sqref="B122:B139">
    <cfRule type="duplicateValues" dxfId="11" priority="11"/>
  </conditionalFormatting>
  <conditionalFormatting sqref="B144:B153">
    <cfRule type="duplicateValues" dxfId="10" priority="10"/>
  </conditionalFormatting>
  <conditionalFormatting sqref="B166:B182">
    <cfRule type="duplicateValues" dxfId="9" priority="9"/>
  </conditionalFormatting>
  <conditionalFormatting sqref="B198:B210">
    <cfRule type="duplicateValues" dxfId="8" priority="8"/>
  </conditionalFormatting>
  <conditionalFormatting sqref="B217:B224">
    <cfRule type="duplicateValues" dxfId="7" priority="7"/>
  </conditionalFormatting>
  <conditionalFormatting sqref="B246:B247 B233:B240">
    <cfRule type="duplicateValues" dxfId="6" priority="6"/>
  </conditionalFormatting>
  <conditionalFormatting sqref="B257:B266">
    <cfRule type="duplicateValues" dxfId="5" priority="5"/>
  </conditionalFormatting>
  <conditionalFormatting sqref="B47:B86">
    <cfRule type="duplicateValues" dxfId="4" priority="53"/>
  </conditionalFormatting>
  <conditionalFormatting sqref="B229:B232 B241:B242">
    <cfRule type="duplicateValues" dxfId="3" priority="4"/>
  </conditionalFormatting>
  <conditionalFormatting sqref="B252">
    <cfRule type="duplicateValues" dxfId="2" priority="3"/>
  </conditionalFormatting>
  <conditionalFormatting sqref="B253">
    <cfRule type="duplicateValues" dxfId="1" priority="2"/>
  </conditionalFormatting>
  <conditionalFormatting sqref="B100:B109">
    <cfRule type="duplicateValues" dxfId="0" priority="1"/>
  </conditionalFormatting>
  <printOptions horizontalCentered="1"/>
  <pageMargins left="0.31496062992125984" right="0.31496062992125984" top="0.35433070866141736" bottom="0.15748031496062992" header="0.31496062992125984" footer="0.31496062992125984"/>
  <pageSetup paperSize="9" scale="52" fitToHeight="0" orientation="landscape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Đ4_T12</vt:lpstr>
      <vt:lpstr>Đ4_T12!Print_Area</vt:lpstr>
      <vt:lpstr>Đ4_T12!Print_Titles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Hang Nguyen Thi Thu (HRD/CMVN)</dc:creator>
  <cp:lastModifiedBy>Hang Nguyen Thi Thu (HRD/CMVN)</cp:lastModifiedBy>
  <dcterms:created xsi:type="dcterms:W3CDTF">2025-11-25T16:05:19Z</dcterms:created>
  <dcterms:modified xsi:type="dcterms:W3CDTF">2026-05-29T03:52:41Z</dcterms:modified>
</cp:coreProperties>
</file>